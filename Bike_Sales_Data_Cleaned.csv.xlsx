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73C32AC5-4873-4423-87FC-9B64D0E93BF7}" xr6:coauthVersionLast="47" xr6:coauthVersionMax="47" xr10:uidLastSave="{00000000-0000-0000-0000-000000000000}"/>
  <bookViews>
    <workbookView xWindow="-108" yWindow="-108" windowWidth="23256" windowHeight="13896" activeTab="1"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2" i="2"/>
</calcChain>
</file>

<file path=xl/sharedStrings.xml><?xml version="1.0" encoding="utf-8"?>
<sst xmlns="http://schemas.openxmlformats.org/spreadsheetml/2006/main" count="16277" uniqueCount="51">
  <si>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</si>
  <si>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</si>
  <si>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</si>
  <si>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</si>
  <si>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</si>
  <si>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</si>
  <si>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</si>
  <si>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</si>
  <si>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</si>
  <si>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</si>
  <si>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</si>
  <si>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</si>
  <si>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</si>
  <si>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</si>
  <si>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</si>
  <si>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</si>
  <si>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</si>
  <si>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</si>
  <si>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</si>
  <si>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</si>
  <si>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</si>
  <si>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</si>
  <si>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</si>
  <si>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</si>
  <si>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</si>
  <si>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</si>
  <si>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</si>
  <si>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</si>
  <si>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</si>
  <si>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</si>
  <si>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</si>
  <si>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</si>
  <si>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</si>
  <si>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</si>
  <si>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</si>
  <si>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</si>
  <si>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</si>
  <si>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Single</t>
  </si>
  <si>
    <t>Female</t>
  </si>
  <si>
    <t>Age Brackets</t>
  </si>
  <si>
    <t>Row Labels</t>
  </si>
  <si>
    <t>Grand Total</t>
  </si>
  <si>
    <t>Average of Income</t>
  </si>
  <si>
    <t>Column Labels</t>
  </si>
  <si>
    <t>Count of Purchased Bike</t>
  </si>
  <si>
    <t>10 Miles+</t>
  </si>
  <si>
    <t>Adolescent</t>
  </si>
  <si>
    <t>Middle Age</t>
  </si>
  <si>
    <t>Old</t>
  </si>
  <si>
    <t>Bike Sales Dashboard</t>
  </si>
  <si>
    <t>Married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</si>
</sst>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19" fillId="33" borderId="0" xfId="0" applyFont="1" applyFill="1" applyAlignment="1">
      <alignmen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Cleaned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Icome Per Purchase</a:t>
            </a:r>
            <a:endParaRPr lang="en-IN"/>
          </a:p>
        </c:rich>
      </c:tx>
      <c:layout>
        <c:manualLayout>
          <c:xMode val="edge"/>
          <c:yMode val="edge"/>
          <c:x val="0.30361111111111111"/>
          <c:y val="4.50877250302218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33982032733713"/>
          <c:y val="0.14651698943037525"/>
          <c:w val="0.5723161129249088"/>
          <c:h val="0.59033288836438447"/>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85000</c:v>
                </c:pt>
                <c:pt idx="1">
                  <c:v>78181.818181818177</c:v>
                </c:pt>
              </c:numCache>
            </c:numRef>
          </c:val>
          <c:extLst>
            <c:ext xmlns:c16="http://schemas.microsoft.com/office/drawing/2014/chart" uri="{C3380CC4-5D6E-409C-BE32-E72D297353CC}">
              <c16:uniqueId val="{00000000-6D8C-4714-9684-8F48847A18D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68750</c:v>
                </c:pt>
                <c:pt idx="1">
                  <c:v>72727.272727272721</c:v>
                </c:pt>
              </c:numCache>
            </c:numRef>
          </c:val>
          <c:extLst>
            <c:ext xmlns:c16="http://schemas.microsoft.com/office/drawing/2014/chart" uri="{C3380CC4-5D6E-409C-BE32-E72D297353CC}">
              <c16:uniqueId val="{00000006-6D8C-4714-9684-8F48847A18DA}"/>
            </c:ext>
          </c:extLst>
        </c:ser>
        <c:dLbls>
          <c:showLegendKey val="0"/>
          <c:showVal val="0"/>
          <c:showCatName val="0"/>
          <c:showSerName val="0"/>
          <c:showPercent val="0"/>
          <c:showBubbleSize val="0"/>
        </c:dLbls>
        <c:gapWidth val="219"/>
        <c:overlap val="-27"/>
        <c:axId val="1811152384"/>
        <c:axId val="1811146144"/>
      </c:barChart>
      <c:catAx>
        <c:axId val="1811152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46144"/>
        <c:crosses val="autoZero"/>
        <c:auto val="1"/>
        <c:lblAlgn val="ctr"/>
        <c:lblOffset val="100"/>
        <c:noMultiLvlLbl val="0"/>
      </c:catAx>
      <c:valAx>
        <c:axId val="1811146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523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Cleaned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E2CD-4C62-92B6-4D4BD0AA9CFE}"/>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5-E2CD-4C62-92B6-4D4BD0AA9CFE}"/>
            </c:ext>
          </c:extLst>
        </c:ser>
        <c:dLbls>
          <c:showLegendKey val="0"/>
          <c:showVal val="0"/>
          <c:showCatName val="0"/>
          <c:showSerName val="0"/>
          <c:showPercent val="0"/>
          <c:showBubbleSize val="0"/>
        </c:dLbls>
        <c:smooth val="0"/>
        <c:axId val="40869712"/>
        <c:axId val="40870192"/>
      </c:lineChart>
      <c:catAx>
        <c:axId val="40869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0192"/>
        <c:crosses val="autoZero"/>
        <c:auto val="1"/>
        <c:lblAlgn val="ctr"/>
        <c:lblOffset val="100"/>
        <c:noMultiLvlLbl val="0"/>
      </c:catAx>
      <c:valAx>
        <c:axId val="4087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Cleaned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Adolescent</c:v>
                </c:pt>
                <c:pt idx="1">
                  <c:v>Middle Age</c:v>
                </c:pt>
                <c:pt idx="2">
                  <c:v>Old</c:v>
                </c:pt>
              </c:strCache>
            </c:strRef>
          </c:cat>
          <c:val>
            <c:numRef>
              <c:f>'Pivot Table'!$B$43:$B$46</c:f>
              <c:numCache>
                <c:formatCode>General</c:formatCode>
                <c:ptCount val="3"/>
                <c:pt idx="0">
                  <c:v>1</c:v>
                </c:pt>
                <c:pt idx="1">
                  <c:v>12</c:v>
                </c:pt>
                <c:pt idx="2">
                  <c:v>2</c:v>
                </c:pt>
              </c:numCache>
            </c:numRef>
          </c:val>
          <c:smooth val="0"/>
          <c:extLst>
            <c:ext xmlns:c16="http://schemas.microsoft.com/office/drawing/2014/chart" uri="{C3380CC4-5D6E-409C-BE32-E72D297353CC}">
              <c16:uniqueId val="{00000000-E772-4CB4-9E63-8A90CBAA886C}"/>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Adolescent</c:v>
                </c:pt>
                <c:pt idx="1">
                  <c:v>Middle Age</c:v>
                </c:pt>
                <c:pt idx="2">
                  <c:v>Old</c:v>
                </c:pt>
              </c:strCache>
            </c:strRef>
          </c:cat>
          <c:val>
            <c:numRef>
              <c:f>'Pivot Table'!$C$43:$C$46</c:f>
              <c:numCache>
                <c:formatCode>General</c:formatCode>
                <c:ptCount val="3"/>
                <c:pt idx="0">
                  <c:v>4</c:v>
                </c:pt>
                <c:pt idx="1">
                  <c:v>13</c:v>
                </c:pt>
                <c:pt idx="2">
                  <c:v>2</c:v>
                </c:pt>
              </c:numCache>
            </c:numRef>
          </c:val>
          <c:smooth val="0"/>
          <c:extLst>
            <c:ext xmlns:c16="http://schemas.microsoft.com/office/drawing/2014/chart" uri="{C3380CC4-5D6E-409C-BE32-E72D297353CC}">
              <c16:uniqueId val="{00000005-E772-4CB4-9E63-8A90CBAA886C}"/>
            </c:ext>
          </c:extLst>
        </c:ser>
        <c:dLbls>
          <c:showLegendKey val="0"/>
          <c:showVal val="0"/>
          <c:showCatName val="0"/>
          <c:showSerName val="0"/>
          <c:showPercent val="0"/>
          <c:showBubbleSize val="0"/>
        </c:dLbls>
        <c:smooth val="0"/>
        <c:axId val="40891312"/>
        <c:axId val="40891792"/>
      </c:lineChart>
      <c:catAx>
        <c:axId val="40891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91792"/>
        <c:crosses val="autoZero"/>
        <c:auto val="1"/>
        <c:lblAlgn val="ctr"/>
        <c:lblOffset val="100"/>
        <c:noMultiLvlLbl val="0"/>
      </c:catAx>
      <c:valAx>
        <c:axId val="4089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9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Cleaned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Icome Per Purchase</a:t>
            </a:r>
            <a:endParaRPr lang="en-IN"/>
          </a:p>
        </c:rich>
      </c:tx>
      <c:layout>
        <c:manualLayout>
          <c:xMode val="edge"/>
          <c:yMode val="edge"/>
          <c:x val="0.30361111111111111"/>
          <c:y val="4.50877250302218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33982032733713"/>
          <c:y val="0.14651698943037525"/>
          <c:w val="0.5723161129249088"/>
          <c:h val="0.59033288836438447"/>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85000</c:v>
                </c:pt>
                <c:pt idx="1">
                  <c:v>78181.818181818177</c:v>
                </c:pt>
              </c:numCache>
            </c:numRef>
          </c:val>
          <c:extLst>
            <c:ext xmlns:c16="http://schemas.microsoft.com/office/drawing/2014/chart" uri="{C3380CC4-5D6E-409C-BE32-E72D297353CC}">
              <c16:uniqueId val="{00000000-64A0-4F0A-B124-565985FA09E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68750</c:v>
                </c:pt>
                <c:pt idx="1">
                  <c:v>72727.272727272721</c:v>
                </c:pt>
              </c:numCache>
            </c:numRef>
          </c:val>
          <c:extLst>
            <c:ext xmlns:c16="http://schemas.microsoft.com/office/drawing/2014/chart" uri="{C3380CC4-5D6E-409C-BE32-E72D297353CC}">
              <c16:uniqueId val="{00000006-64A0-4F0A-B124-565985FA09EC}"/>
            </c:ext>
          </c:extLst>
        </c:ser>
        <c:dLbls>
          <c:showLegendKey val="0"/>
          <c:showVal val="0"/>
          <c:showCatName val="0"/>
          <c:showSerName val="0"/>
          <c:showPercent val="0"/>
          <c:showBubbleSize val="0"/>
        </c:dLbls>
        <c:gapWidth val="219"/>
        <c:overlap val="-27"/>
        <c:axId val="1811152384"/>
        <c:axId val="1811146144"/>
      </c:barChart>
      <c:catAx>
        <c:axId val="1811152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46144"/>
        <c:crosses val="autoZero"/>
        <c:auto val="1"/>
        <c:lblAlgn val="ctr"/>
        <c:lblOffset val="100"/>
        <c:noMultiLvlLbl val="0"/>
      </c:catAx>
      <c:valAx>
        <c:axId val="1811146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523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Cleaned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16AC-4025-B2E8-E26D828310A2}"/>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4-16AC-4025-B2E8-E26D828310A2}"/>
            </c:ext>
          </c:extLst>
        </c:ser>
        <c:dLbls>
          <c:showLegendKey val="0"/>
          <c:showVal val="0"/>
          <c:showCatName val="0"/>
          <c:showSerName val="0"/>
          <c:showPercent val="0"/>
          <c:showBubbleSize val="0"/>
        </c:dLbls>
        <c:smooth val="0"/>
        <c:axId val="40869712"/>
        <c:axId val="40870192"/>
      </c:lineChart>
      <c:catAx>
        <c:axId val="40869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0192"/>
        <c:crosses val="autoZero"/>
        <c:auto val="1"/>
        <c:lblAlgn val="ctr"/>
        <c:lblOffset val="100"/>
        <c:noMultiLvlLbl val="0"/>
      </c:catAx>
      <c:valAx>
        <c:axId val="4087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Cleaned Dataset.xlsx]Pivot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39362503467554355"/>
          <c:y val="5.77214779970685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Adolescent</c:v>
                </c:pt>
                <c:pt idx="1">
                  <c:v>Middle Age</c:v>
                </c:pt>
                <c:pt idx="2">
                  <c:v>Old</c:v>
                </c:pt>
              </c:strCache>
            </c:strRef>
          </c:cat>
          <c:val>
            <c:numRef>
              <c:f>'Pivot Table'!$B$43:$B$46</c:f>
              <c:numCache>
                <c:formatCode>General</c:formatCode>
                <c:ptCount val="3"/>
                <c:pt idx="0">
                  <c:v>1</c:v>
                </c:pt>
                <c:pt idx="1">
                  <c:v>12</c:v>
                </c:pt>
                <c:pt idx="2">
                  <c:v>2</c:v>
                </c:pt>
              </c:numCache>
            </c:numRef>
          </c:val>
          <c:smooth val="0"/>
          <c:extLst>
            <c:ext xmlns:c16="http://schemas.microsoft.com/office/drawing/2014/chart" uri="{C3380CC4-5D6E-409C-BE32-E72D297353CC}">
              <c16:uniqueId val="{00000000-8830-483F-9976-AFB3A1BCD5DE}"/>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Adolescent</c:v>
                </c:pt>
                <c:pt idx="1">
                  <c:v>Middle Age</c:v>
                </c:pt>
                <c:pt idx="2">
                  <c:v>Old</c:v>
                </c:pt>
              </c:strCache>
            </c:strRef>
          </c:cat>
          <c:val>
            <c:numRef>
              <c:f>'Pivot Table'!$C$43:$C$46</c:f>
              <c:numCache>
                <c:formatCode>General</c:formatCode>
                <c:ptCount val="3"/>
                <c:pt idx="0">
                  <c:v>4</c:v>
                </c:pt>
                <c:pt idx="1">
                  <c:v>13</c:v>
                </c:pt>
                <c:pt idx="2">
                  <c:v>2</c:v>
                </c:pt>
              </c:numCache>
            </c:numRef>
          </c:val>
          <c:smooth val="0"/>
          <c:extLst>
            <c:ext xmlns:c16="http://schemas.microsoft.com/office/drawing/2014/chart" uri="{C3380CC4-5D6E-409C-BE32-E72D297353CC}">
              <c16:uniqueId val="{00000004-8830-483F-9976-AFB3A1BCD5DE}"/>
            </c:ext>
          </c:extLst>
        </c:ser>
        <c:dLbls>
          <c:showLegendKey val="0"/>
          <c:showVal val="0"/>
          <c:showCatName val="0"/>
          <c:showSerName val="0"/>
          <c:showPercent val="0"/>
          <c:showBubbleSize val="0"/>
        </c:dLbls>
        <c:smooth val="0"/>
        <c:axId val="40891312"/>
        <c:axId val="40891792"/>
      </c:lineChart>
      <c:catAx>
        <c:axId val="40891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91792"/>
        <c:crosses val="autoZero"/>
        <c:auto val="1"/>
        <c:lblAlgn val="ctr"/>
        <c:lblOffset val="100"/>
        <c:noMultiLvlLbl val="0"/>
      </c:catAx>
      <c:valAx>
        <c:axId val="4089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9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640080</xdr:colOff>
      <xdr:row>0</xdr:row>
      <xdr:rowOff>0</xdr:rowOff>
    </xdr:from>
    <xdr:to>
      <xdr:col>12</xdr:col>
      <xdr:colOff>449580</xdr:colOff>
      <xdr:row>16</xdr:row>
      <xdr:rowOff>175260</xdr:rowOff>
    </xdr:to>
    <xdr:graphicFrame macro="">
      <xdr:nvGraphicFramePr>
        <xdr:cNvPr id="2" name="Chart 1">
          <a:extLst>
            <a:ext uri="{FF2B5EF4-FFF2-40B4-BE49-F238E27FC236}">
              <a16:creationId xmlns:a16="http://schemas.microsoft.com/office/drawing/2014/main" id="{A9E79FF8-B50E-C022-3EEE-A0D8EC10A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236220</xdr:colOff>
      <xdr:row>18</xdr:row>
      <xdr:rowOff>133350</xdr:rowOff>
    </xdr:from>
    <xdr:to>
      <xdr:col>13</xdr:col>
      <xdr:colOff>541020</xdr:colOff>
      <xdr:row>33</xdr:row>
      <xdr:rowOff>133350</xdr:rowOff>
    </xdr:to>
    <xdr:graphicFrame macro="">
      <xdr:nvGraphicFramePr>
        <xdr:cNvPr id="3" name="Chart 2">
          <a:extLst>
            <a:ext uri="{FF2B5EF4-FFF2-40B4-BE49-F238E27FC236}">
              <a16:creationId xmlns:a16="http://schemas.microsoft.com/office/drawing/2014/main" id="{A6B395F1-AB8F-41C3-FE33-79CE53064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190500</xdr:colOff>
      <xdr:row>38</xdr:row>
      <xdr:rowOff>41910</xdr:rowOff>
    </xdr:from>
    <xdr:to>
      <xdr:col>13</xdr:col>
      <xdr:colOff>495300</xdr:colOff>
      <xdr:row>53</xdr:row>
      <xdr:rowOff>41910</xdr:rowOff>
    </xdr:to>
    <xdr:graphicFrame macro="">
      <xdr:nvGraphicFramePr>
        <xdr:cNvPr id="4" name="Chart 3">
          <a:extLst>
            <a:ext uri="{FF2B5EF4-FFF2-40B4-BE49-F238E27FC236}">
              <a16:creationId xmlns:a16="http://schemas.microsoft.com/office/drawing/2014/main" id="{5AAB975B-CA30-966F-F578-3297085D2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3</xdr:row>
      <xdr:rowOff>129540</xdr:rowOff>
    </xdr:from>
    <xdr:to>
      <xdr:col>11</xdr:col>
      <xdr:colOff>45720</xdr:colOff>
      <xdr:row>16</xdr:row>
      <xdr:rowOff>114300</xdr:rowOff>
    </xdr:to>
    <xdr:graphicFrame macro="">
      <xdr:nvGraphicFramePr>
        <xdr:cNvPr id="4" name="Chart 3">
          <a:extLst>
            <a:ext uri="{FF2B5EF4-FFF2-40B4-BE49-F238E27FC236}">
              <a16:creationId xmlns:a16="http://schemas.microsoft.com/office/drawing/2014/main" id="{B5F6E484-BCC1-4DDC-AA77-2B5A38555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114300</xdr:colOff>
      <xdr:row>17</xdr:row>
      <xdr:rowOff>76200</xdr:rowOff>
    </xdr:from>
    <xdr:to>
      <xdr:col>19</xdr:col>
      <xdr:colOff>76200</xdr:colOff>
      <xdr:row>29</xdr:row>
      <xdr:rowOff>167640</xdr:rowOff>
    </xdr:to>
    <xdr:graphicFrame macro="">
      <xdr:nvGraphicFramePr>
        <xdr:cNvPr id="5" name="Chart 4">
          <a:extLst>
            <a:ext uri="{FF2B5EF4-FFF2-40B4-BE49-F238E27FC236}">
              <a16:creationId xmlns:a16="http://schemas.microsoft.com/office/drawing/2014/main" id="{F6F71C24-AD7B-46BF-BA51-810989795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266700</xdr:colOff>
      <xdr:row>3</xdr:row>
      <xdr:rowOff>129540</xdr:rowOff>
    </xdr:from>
    <xdr:to>
      <xdr:col>19</xdr:col>
      <xdr:colOff>76200</xdr:colOff>
      <xdr:row>16</xdr:row>
      <xdr:rowOff>99060</xdr:rowOff>
    </xdr:to>
    <xdr:graphicFrame macro="">
      <xdr:nvGraphicFramePr>
        <xdr:cNvPr id="6" name="Chart 5">
          <a:extLst>
            <a:ext uri="{FF2B5EF4-FFF2-40B4-BE49-F238E27FC236}">
              <a16:creationId xmlns:a16="http://schemas.microsoft.com/office/drawing/2014/main" id="{5C5F9857-1B14-43ED-A492-B2D7F979E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3</xdr:row>
      <xdr:rowOff>129541</xdr:rowOff>
    </xdr:from>
    <xdr:to>
      <xdr:col>2</xdr:col>
      <xdr:colOff>419100</xdr:colOff>
      <xdr:row>10</xdr:row>
      <xdr:rowOff>0</xdr:rowOff>
    </xdr:to>
    <mc:AlternateContent xmlns:mc="http://schemas.openxmlformats.org/markup-compatibility/2006" xmlns:a14="http://schemas.microsoft.com/office/drawing/2010/main">
      <mc:Choice Requires="a14">
        <xdr:graphicFrame macro="">
          <xdr:nvGraphicFramePr>
            <xdr:cNvPr id="9" name="Marital Status">
              <a:extLst>
                <a:ext uri="{FF2B5EF4-FFF2-40B4-BE49-F238E27FC236}">
                  <a16:creationId xmlns:a16="http://schemas.microsoft.com/office/drawing/2014/main" id="{612F543A-81D9-4B5C-ACED-552E820D448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8100" y="960121"/>
              <a:ext cx="160020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18</xdr:row>
      <xdr:rowOff>175260</xdr:rowOff>
    </xdr:from>
    <xdr:to>
      <xdr:col>2</xdr:col>
      <xdr:colOff>441960</xdr:colOff>
      <xdr:row>29</xdr:row>
      <xdr:rowOff>76199</xdr:rowOff>
    </xdr:to>
    <mc:AlternateContent xmlns:mc="http://schemas.openxmlformats.org/markup-compatibility/2006" xmlns:a14="http://schemas.microsoft.com/office/drawing/2010/main">
      <mc:Choice Requires="a14">
        <xdr:graphicFrame macro="">
          <xdr:nvGraphicFramePr>
            <xdr:cNvPr id="10" name="Education">
              <a:extLst>
                <a:ext uri="{FF2B5EF4-FFF2-40B4-BE49-F238E27FC236}">
                  <a16:creationId xmlns:a16="http://schemas.microsoft.com/office/drawing/2014/main" id="{6A1C9725-389A-C8B5-01A7-E76AF90DF34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620" y="3749040"/>
              <a:ext cx="1653540" cy="1912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60961</xdr:rowOff>
    </xdr:from>
    <xdr:to>
      <xdr:col>2</xdr:col>
      <xdr:colOff>426720</xdr:colOff>
      <xdr:row>18</xdr:row>
      <xdr:rowOff>137161</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093BDAB5-07A5-A196-661E-1A38ABDF2C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71701"/>
              <a:ext cx="164592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23.902677199076" createdVersion="8" refreshedVersion="8" minRefreshableVersion="3" recordCount="1001" xr:uid="{1CC52C93-EEC1-4D5E-AE59-FCCB5BA4AD02}">
  <cacheSource type="worksheet">
    <worksheetSource ref="A1:N1002" sheet="Working Sheet"/>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 numFmtId="165">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10 Miles+"/>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Brackets" numFmtId="0">
      <sharedItems count="3">
        <s v="Middle Age"/>
        <s v="Old"/>
        <s v="Adolescent"/>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738889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m/>
    <x v="2"/>
    <x v="2"/>
    <m/>
    <m/>
    <x v="5"/>
    <m/>
    <m/>
    <m/>
    <x v="5"/>
    <x v="3"/>
    <m/>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B10D0A-3730-43C4-84E7-75DA311D84AA}"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1:D46" firstHeaderRow="1" firstDataRow="2" firstDataCol="1"/>
  <pivotFields count="14">
    <pivotField showAll="0"/>
    <pivotField showAll="0">
      <items count="4">
        <item x="0"/>
        <item h="1" x="1"/>
        <item h="1" x="2"/>
        <item t="default"/>
      </items>
    </pivotField>
    <pivotField showAll="0"/>
    <pivotField showAll="0"/>
    <pivotField showAll="0"/>
    <pivotField showAll="0">
      <items count="7">
        <item x="0"/>
        <item h="1" x="4"/>
        <item h="1" x="2"/>
        <item h="1" x="1"/>
        <item h="1" x="3"/>
        <item h="1" x="5"/>
        <item t="default"/>
      </items>
    </pivotField>
    <pivotField showAll="0"/>
    <pivotField showAll="0"/>
    <pivotField showAll="0"/>
    <pivotField showAll="0"/>
    <pivotField showAll="0">
      <items count="5">
        <item h="1" x="0"/>
        <item h="1" x="2"/>
        <item x="1"/>
        <item h="1" x="3"/>
        <item t="default"/>
      </items>
    </pivotField>
    <pivotField showAll="0"/>
    <pivotField axis="axisRow" showAll="0">
      <items count="4">
        <item x="2"/>
        <item x="0"/>
        <item x="1"/>
        <item t="default"/>
      </items>
    </pivotField>
    <pivotField axis="axisCol" dataField="1" showAll="0">
      <items count="4">
        <item x="0"/>
        <item x="1"/>
        <item h="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6" format="5" series="1">
      <pivotArea type="data" outline="0" fieldPosition="0">
        <references count="2">
          <reference field="4294967294" count="1" selected="0">
            <x v="0"/>
          </reference>
          <reference field="13" count="1" selected="0">
            <x v="0"/>
          </reference>
        </references>
      </pivotArea>
    </chartFormat>
    <chartFormat chart="6" format="6" series="1">
      <pivotArea type="data" outline="0" fieldPosition="0">
        <references count="2">
          <reference field="4294967294" count="1" selected="0">
            <x v="0"/>
          </reference>
          <reference field="13" count="1" selected="0">
            <x v="1"/>
          </reference>
        </references>
      </pivotArea>
    </chartFormat>
    <chartFormat chart="6"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065E5D-7470-4C48-8BA4-E43B9A5C6F44}"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4">
        <item x="0"/>
        <item h="1" x="1"/>
        <item h="1" x="2"/>
        <item t="default"/>
      </items>
    </pivotField>
    <pivotField showAll="0"/>
    <pivotField showAll="0"/>
    <pivotField showAll="0"/>
    <pivotField showAll="0">
      <items count="7">
        <item x="0"/>
        <item h="1" x="4"/>
        <item h="1" x="2"/>
        <item h="1" x="1"/>
        <item h="1" x="3"/>
        <item h="1" x="5"/>
        <item t="default"/>
      </items>
    </pivotField>
    <pivotField showAll="0"/>
    <pivotField showAll="0"/>
    <pivotField showAll="0"/>
    <pivotField axis="axisRow" showAll="0">
      <items count="8">
        <item x="0"/>
        <item m="1" x="6"/>
        <item x="3"/>
        <item x="1"/>
        <item x="2"/>
        <item x="5"/>
        <item x="4"/>
        <item t="default"/>
      </items>
    </pivotField>
    <pivotField showAll="0">
      <items count="5">
        <item h="1" x="0"/>
        <item h="1" x="2"/>
        <item x="1"/>
        <item h="1" x="3"/>
        <item t="default"/>
      </items>
    </pivotField>
    <pivotField showAll="0"/>
    <pivotField showAll="0"/>
    <pivotField axis="axisCol" dataField="1" showAll="0">
      <items count="4">
        <item x="0"/>
        <item x="1"/>
        <item h="1" x="2"/>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5" series="1">
      <pivotArea type="data" outline="0" fieldPosition="0">
        <references count="2">
          <reference field="4294967294" count="1" selected="0">
            <x v="0"/>
          </reference>
          <reference field="13" count="1" selected="0">
            <x v="0"/>
          </reference>
        </references>
      </pivotArea>
    </chartFormat>
    <chartFormat chart="2" format="6" series="1">
      <pivotArea type="data" outline="0" fieldPosition="0">
        <references count="2">
          <reference field="4294967294" count="1" selected="0">
            <x v="0"/>
          </reference>
          <reference field="13" count="1" selected="0">
            <x v="1"/>
          </reference>
        </references>
      </pivotArea>
    </chartFormat>
    <chartFormat chart="2"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9E094F-24BB-4B05-AB5B-AB393C76A298}"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4">
        <item x="0"/>
        <item h="1" x="1"/>
        <item h="1" x="2"/>
        <item t="default"/>
      </items>
    </pivotField>
    <pivotField axis="axisRow" showAll="0">
      <items count="4">
        <item x="0"/>
        <item x="1"/>
        <item h="1" x="2"/>
        <item t="default"/>
      </items>
    </pivotField>
    <pivotField dataField="1" showAll="0"/>
    <pivotField showAll="0"/>
    <pivotField showAll="0">
      <items count="7">
        <item x="0"/>
        <item h="1" x="4"/>
        <item h="1" x="2"/>
        <item h="1" x="1"/>
        <item h="1" x="3"/>
        <item h="1" x="5"/>
        <item t="default"/>
      </items>
    </pivotField>
    <pivotField showAll="0"/>
    <pivotField showAll="0"/>
    <pivotField showAll="0"/>
    <pivotField showAll="0"/>
    <pivotField showAll="0">
      <items count="5">
        <item h="1" x="0"/>
        <item h="1" x="2"/>
        <item x="1"/>
        <item h="1" x="3"/>
        <item t="default"/>
      </items>
    </pivotField>
    <pivotField showAll="0"/>
    <pivotField showAll="0"/>
    <pivotField axis="axisCol" showAll="0">
      <items count="4">
        <item x="0"/>
        <item x="1"/>
        <item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1CF81F-4546-4F11-87CC-18DF63A710DB}"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8:D63" firstHeaderRow="1" firstDataRow="2" firstDataCol="1"/>
  <pivotFields count="14">
    <pivotField showAll="0"/>
    <pivotField showAll="0">
      <items count="4">
        <item x="0"/>
        <item h="1" x="1"/>
        <item h="1" x="2"/>
        <item t="default"/>
      </items>
    </pivotField>
    <pivotField showAll="0"/>
    <pivotField showAll="0"/>
    <pivotField showAll="0"/>
    <pivotField showAll="0">
      <items count="7">
        <item x="0"/>
        <item h="1" x="4"/>
        <item h="1" x="2"/>
        <item h="1" x="1"/>
        <item h="1" x="3"/>
        <item h="1" x="5"/>
        <item t="default"/>
      </items>
    </pivotField>
    <pivotField showAll="0"/>
    <pivotField showAll="0"/>
    <pivotField showAll="0"/>
    <pivotField showAll="0"/>
    <pivotField showAll="0">
      <items count="5">
        <item h="1" x="0"/>
        <item h="1" x="2"/>
        <item x="1"/>
        <item h="1" x="3"/>
        <item t="default"/>
      </items>
    </pivotField>
    <pivotField showAll="0"/>
    <pivotField axis="axisRow" showAll="0">
      <items count="4">
        <item x="2"/>
        <item x="0"/>
        <item x="1"/>
        <item t="default"/>
      </items>
    </pivotField>
    <pivotField axis="axisCol" dataField="1" showAll="0">
      <items count="4">
        <item x="0"/>
        <item x="1"/>
        <item h="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661A134-2E40-46A6-BEBC-914A04BBA9E9}" sourceName="Marital Status">
  <pivotTables>
    <pivotTable tabId="3" name="PivotTable1"/>
    <pivotTable tabId="3" name="PivotTable2"/>
    <pivotTable tabId="3" name="PivotTable3"/>
    <pivotTable tabId="3" name="PivotTable4"/>
  </pivotTables>
  <data>
    <tabular pivotCacheId="738889332">
      <items count="3">
        <i x="0" s="1"/>
        <i x="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3E51DD7-1B52-4583-BE09-0A4B47FF0911}" sourceName="Education">
  <pivotTables>
    <pivotTable tabId="3" name="PivotTable1"/>
    <pivotTable tabId="3" name="PivotTable2"/>
    <pivotTable tabId="3" name="PivotTable3"/>
    <pivotTable tabId="3" name="PivotTable4"/>
  </pivotTables>
  <data>
    <tabular pivotCacheId="738889332">
      <items count="6">
        <i x="0" s="1"/>
        <i x="4"/>
        <i x="2"/>
        <i x="1"/>
        <i x="3"/>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DB99B5-56A8-46EF-8097-47CB16B69194}" sourceName="Region">
  <pivotTables>
    <pivotTable tabId="3" name="PivotTable1"/>
    <pivotTable tabId="3" name="PivotTable2"/>
    <pivotTable tabId="3" name="PivotTable3"/>
    <pivotTable tabId="3" name="PivotTable4"/>
  </pivotTables>
  <data>
    <tabular pivotCacheId="738889332">
      <items count="4">
        <i x="0"/>
        <i x="2"/>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57C0C03-E8D6-4449-ABDD-DC24161D2A81}" cache="Slicer_Marital_Status" caption="Marital Status" rowHeight="234950"/>
  <slicer name="Education" xr10:uid="{9FFB9A23-CCCB-4718-98A4-F3EA6E6C7FC2}" cache="Slicer_Education" caption="Education" rowHeight="234950"/>
  <slicer name="Region" xr10:uid="{5F9FBF44-BD3A-44DD-AE85-209D2E4B3C42}"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Q20" sqref="Q2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A448B-4FD6-4830-8F24-3A4949D310C2}">
  <dimension ref="A1:N1002"/>
  <sheetViews>
    <sheetView tabSelected="1" topLeftCell="A61" zoomScaleNormal="100" workbookViewId="0">
      <selection activeCell="B1" sqref="A1:XFD1048576"/>
    </sheetView>
  </sheetViews>
  <sheetFormatPr defaultColWidth="11.88671875" defaultRowHeight="14.4" x14ac:dyDescent="0.3"/>
  <cols>
    <col min="1" max="1" width="15.77734375" customWidth="1"/>
    <col min="4" max="4" width="12.77734375" style="3" bestFit="1" customWidth="1"/>
    <col min="5" max="5" width="11.777343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39</v>
      </c>
      <c r="N1" t="s">
        <v>12</v>
      </c>
    </row>
    <row r="2" spans="1:14" x14ac:dyDescent="0.3">
      <c r="A2">
        <v>12496</v>
      </c>
      <c r="B2" t="s">
        <v>50</v>
      </c>
      <c r="C2" t="s">
        <v>38</v>
      </c>
      <c r="D2" s="3">
        <v>40000</v>
      </c>
      <c r="E2">
        <v>1</v>
      </c>
      <c r="F2" t="s">
        <v>13</v>
      </c>
      <c r="G2" t="s">
        <v>14</v>
      </c>
      <c r="H2" t="s">
        <v>15</v>
      </c>
      <c r="I2">
        <v>0</v>
      </c>
      <c r="J2" t="s">
        <v>16</v>
      </c>
      <c r="K2" t="s">
        <v>17</v>
      </c>
      <c r="L2">
        <v>42</v>
      </c>
      <c r="M2" t="str">
        <f>IF(L2&gt;55,"Old",IF(L2&gt;=31,"Middle Age",IF(L2&lt;31,"Adolescent","Invalid")))</f>
        <v>Middle Age</v>
      </c>
      <c r="N2" t="s">
        <v>18</v>
      </c>
    </row>
    <row r="3" spans="1:14" x14ac:dyDescent="0.3">
      <c r="A3">
        <v>24107</v>
      </c>
      <c r="B3" t="s">
        <v>50</v>
      </c>
      <c r="C3" t="s">
        <v>36</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50</v>
      </c>
      <c r="C4" t="s">
        <v>36</v>
      </c>
      <c r="D4" s="3">
        <v>80000</v>
      </c>
      <c r="E4">
        <v>5</v>
      </c>
      <c r="F4" t="s">
        <v>19</v>
      </c>
      <c r="G4" t="s">
        <v>21</v>
      </c>
      <c r="H4" t="s">
        <v>18</v>
      </c>
      <c r="I4">
        <v>2</v>
      </c>
      <c r="J4" t="s">
        <v>22</v>
      </c>
      <c r="K4" t="s">
        <v>17</v>
      </c>
      <c r="L4">
        <v>60</v>
      </c>
      <c r="M4" t="str">
        <f t="shared" si="0"/>
        <v>Old</v>
      </c>
      <c r="N4" t="s">
        <v>18</v>
      </c>
    </row>
    <row r="5" spans="1:14" x14ac:dyDescent="0.3">
      <c r="A5">
        <v>24381</v>
      </c>
      <c r="B5" t="s">
        <v>37</v>
      </c>
      <c r="C5" t="s">
        <v>36</v>
      </c>
      <c r="D5" s="3">
        <v>70000</v>
      </c>
      <c r="E5">
        <v>0</v>
      </c>
      <c r="F5" t="s">
        <v>13</v>
      </c>
      <c r="G5" t="s">
        <v>21</v>
      </c>
      <c r="H5" t="s">
        <v>15</v>
      </c>
      <c r="I5">
        <v>1</v>
      </c>
      <c r="J5" t="s">
        <v>23</v>
      </c>
      <c r="K5" t="s">
        <v>24</v>
      </c>
      <c r="L5">
        <v>41</v>
      </c>
      <c r="M5" t="str">
        <f t="shared" si="0"/>
        <v>Middle Age</v>
      </c>
      <c r="N5" t="s">
        <v>15</v>
      </c>
    </row>
    <row r="6" spans="1:14" x14ac:dyDescent="0.3">
      <c r="A6">
        <v>25597</v>
      </c>
      <c r="B6" t="s">
        <v>37</v>
      </c>
      <c r="C6" t="s">
        <v>36</v>
      </c>
      <c r="D6" s="3">
        <v>30000</v>
      </c>
      <c r="E6">
        <v>0</v>
      </c>
      <c r="F6" t="s">
        <v>13</v>
      </c>
      <c r="G6" t="s">
        <v>20</v>
      </c>
      <c r="H6" t="s">
        <v>18</v>
      </c>
      <c r="I6">
        <v>0</v>
      </c>
      <c r="J6" t="s">
        <v>16</v>
      </c>
      <c r="K6" t="s">
        <v>17</v>
      </c>
      <c r="L6">
        <v>36</v>
      </c>
      <c r="M6" t="str">
        <f t="shared" si="0"/>
        <v>Middle Age</v>
      </c>
      <c r="N6" t="s">
        <v>15</v>
      </c>
    </row>
    <row r="7" spans="1:14" x14ac:dyDescent="0.3">
      <c r="A7">
        <v>13507</v>
      </c>
      <c r="B7" t="s">
        <v>50</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36</v>
      </c>
      <c r="D8" s="3">
        <v>160000</v>
      </c>
      <c r="E8">
        <v>2</v>
      </c>
      <c r="F8" t="s">
        <v>27</v>
      </c>
      <c r="G8" t="s">
        <v>28</v>
      </c>
      <c r="H8" t="s">
        <v>15</v>
      </c>
      <c r="I8">
        <v>4</v>
      </c>
      <c r="J8" t="s">
        <v>16</v>
      </c>
      <c r="K8" t="s">
        <v>24</v>
      </c>
      <c r="L8">
        <v>33</v>
      </c>
      <c r="M8" t="str">
        <f t="shared" si="0"/>
        <v>Middle Age</v>
      </c>
      <c r="N8" t="s">
        <v>15</v>
      </c>
    </row>
    <row r="9" spans="1:14" x14ac:dyDescent="0.3">
      <c r="A9">
        <v>19364</v>
      </c>
      <c r="B9" t="s">
        <v>50</v>
      </c>
      <c r="C9" t="s">
        <v>36</v>
      </c>
      <c r="D9" s="3">
        <v>40000</v>
      </c>
      <c r="E9">
        <v>1</v>
      </c>
      <c r="F9" t="s">
        <v>13</v>
      </c>
      <c r="G9" t="s">
        <v>14</v>
      </c>
      <c r="H9" t="s">
        <v>15</v>
      </c>
      <c r="I9">
        <v>0</v>
      </c>
      <c r="J9" t="s">
        <v>16</v>
      </c>
      <c r="K9" t="s">
        <v>17</v>
      </c>
      <c r="L9">
        <v>43</v>
      </c>
      <c r="M9" t="str">
        <f t="shared" si="0"/>
        <v>Middle Age</v>
      </c>
      <c r="N9" t="s">
        <v>15</v>
      </c>
    </row>
    <row r="10" spans="1:14" x14ac:dyDescent="0.3">
      <c r="A10">
        <v>22155</v>
      </c>
      <c r="B10" t="s">
        <v>50</v>
      </c>
      <c r="C10" t="s">
        <v>36</v>
      </c>
      <c r="D10" s="3">
        <v>20000</v>
      </c>
      <c r="E10">
        <v>2</v>
      </c>
      <c r="F10" t="s">
        <v>29</v>
      </c>
      <c r="G10" t="s">
        <v>20</v>
      </c>
      <c r="H10" t="s">
        <v>15</v>
      </c>
      <c r="I10">
        <v>2</v>
      </c>
      <c r="J10" t="s">
        <v>23</v>
      </c>
      <c r="K10" t="s">
        <v>24</v>
      </c>
      <c r="L10">
        <v>58</v>
      </c>
      <c r="M10" t="str">
        <f t="shared" si="0"/>
        <v>Old</v>
      </c>
      <c r="N10" t="s">
        <v>18</v>
      </c>
    </row>
    <row r="11" spans="1:14" x14ac:dyDescent="0.3">
      <c r="A11">
        <v>19280</v>
      </c>
      <c r="B11" t="s">
        <v>50</v>
      </c>
      <c r="C11" t="s">
        <v>36</v>
      </c>
      <c r="D11" s="3">
        <v>120000</v>
      </c>
      <c r="E11">
        <v>2</v>
      </c>
      <c r="F11" t="s">
        <v>19</v>
      </c>
      <c r="G11" t="s">
        <v>25</v>
      </c>
      <c r="H11" t="s">
        <v>15</v>
      </c>
      <c r="I11">
        <v>1</v>
      </c>
      <c r="J11" t="s">
        <v>16</v>
      </c>
      <c r="K11" t="s">
        <v>17</v>
      </c>
      <c r="L11">
        <v>40</v>
      </c>
      <c r="M11" t="str">
        <f t="shared" si="0"/>
        <v>Middle Age</v>
      </c>
      <c r="N11" t="s">
        <v>15</v>
      </c>
    </row>
    <row r="12" spans="1:14" x14ac:dyDescent="0.3">
      <c r="A12">
        <v>22173</v>
      </c>
      <c r="B12" t="s">
        <v>50</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45</v>
      </c>
      <c r="K13" t="s">
        <v>24</v>
      </c>
      <c r="L13">
        <v>36</v>
      </c>
      <c r="M13" t="str">
        <f t="shared" si="0"/>
        <v>Middle Age</v>
      </c>
      <c r="N13" t="s">
        <v>18</v>
      </c>
    </row>
    <row r="14" spans="1:14" x14ac:dyDescent="0.3">
      <c r="A14">
        <v>11434</v>
      </c>
      <c r="B14" t="s">
        <v>50</v>
      </c>
      <c r="C14" t="s">
        <v>36</v>
      </c>
      <c r="D14" s="3">
        <v>170000</v>
      </c>
      <c r="E14">
        <v>5</v>
      </c>
      <c r="F14" t="s">
        <v>19</v>
      </c>
      <c r="G14" t="s">
        <v>21</v>
      </c>
      <c r="H14" t="s">
        <v>15</v>
      </c>
      <c r="I14">
        <v>0</v>
      </c>
      <c r="J14" t="s">
        <v>16</v>
      </c>
      <c r="K14" t="s">
        <v>17</v>
      </c>
      <c r="L14">
        <v>55</v>
      </c>
      <c r="M14" t="str">
        <f t="shared" si="0"/>
        <v>Middle Age</v>
      </c>
      <c r="N14" t="s">
        <v>18</v>
      </c>
    </row>
    <row r="15" spans="1:14" x14ac:dyDescent="0.3">
      <c r="A15">
        <v>25323</v>
      </c>
      <c r="B15" t="s">
        <v>50</v>
      </c>
      <c r="C15" t="s">
        <v>36</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36</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36</v>
      </c>
      <c r="D18" s="3">
        <v>30000</v>
      </c>
      <c r="E18">
        <v>3</v>
      </c>
      <c r="F18" t="s">
        <v>19</v>
      </c>
      <c r="G18" t="s">
        <v>20</v>
      </c>
      <c r="H18" t="s">
        <v>18</v>
      </c>
      <c r="I18">
        <v>2</v>
      </c>
      <c r="J18" t="s">
        <v>26</v>
      </c>
      <c r="K18" t="s">
        <v>24</v>
      </c>
      <c r="L18">
        <v>59</v>
      </c>
      <c r="M18" t="str">
        <f t="shared" si="0"/>
        <v>Old</v>
      </c>
      <c r="N18" t="s">
        <v>15</v>
      </c>
    </row>
    <row r="19" spans="1:14" x14ac:dyDescent="0.3">
      <c r="A19">
        <v>12610</v>
      </c>
      <c r="B19" t="s">
        <v>50</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36</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36</v>
      </c>
      <c r="D21" s="3">
        <v>20000</v>
      </c>
      <c r="E21">
        <v>2</v>
      </c>
      <c r="F21" t="s">
        <v>29</v>
      </c>
      <c r="G21" t="s">
        <v>20</v>
      </c>
      <c r="H21" t="s">
        <v>15</v>
      </c>
      <c r="I21">
        <v>2</v>
      </c>
      <c r="J21" t="s">
        <v>23</v>
      </c>
      <c r="K21" t="s">
        <v>24</v>
      </c>
      <c r="L21">
        <v>55</v>
      </c>
      <c r="M21" t="str">
        <f t="shared" si="0"/>
        <v>Middle Age</v>
      </c>
      <c r="N21" t="s">
        <v>15</v>
      </c>
    </row>
    <row r="22" spans="1:14" x14ac:dyDescent="0.3">
      <c r="A22">
        <v>25598</v>
      </c>
      <c r="B22" t="s">
        <v>50</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45</v>
      </c>
      <c r="K23" t="s">
        <v>24</v>
      </c>
      <c r="L23">
        <v>35</v>
      </c>
      <c r="M23" t="str">
        <f t="shared" si="0"/>
        <v>Middle Age</v>
      </c>
      <c r="N23" t="s">
        <v>18</v>
      </c>
    </row>
    <row r="24" spans="1:14" x14ac:dyDescent="0.3">
      <c r="A24">
        <v>19193</v>
      </c>
      <c r="B24" t="s">
        <v>37</v>
      </c>
      <c r="C24" t="s">
        <v>36</v>
      </c>
      <c r="D24" s="3">
        <v>40000</v>
      </c>
      <c r="E24">
        <v>2</v>
      </c>
      <c r="F24" t="s">
        <v>19</v>
      </c>
      <c r="G24" t="s">
        <v>20</v>
      </c>
      <c r="H24" t="s">
        <v>15</v>
      </c>
      <c r="I24">
        <v>0</v>
      </c>
      <c r="J24" t="s">
        <v>26</v>
      </c>
      <c r="K24" t="s">
        <v>17</v>
      </c>
      <c r="L24">
        <v>35</v>
      </c>
      <c r="M24" t="str">
        <f t="shared" si="0"/>
        <v>Middle Age</v>
      </c>
      <c r="N24" t="s">
        <v>15</v>
      </c>
    </row>
    <row r="25" spans="1:14" x14ac:dyDescent="0.3">
      <c r="A25">
        <v>26412</v>
      </c>
      <c r="B25" t="s">
        <v>50</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36</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36</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36</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50</v>
      </c>
      <c r="C30" t="s">
        <v>36</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50</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50</v>
      </c>
      <c r="C33" t="s">
        <v>36</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36</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36</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50</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36</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50</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50</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50</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50</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50</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50</v>
      </c>
      <c r="C50" t="s">
        <v>36</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36</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36</v>
      </c>
      <c r="D53" s="3">
        <v>80000</v>
      </c>
      <c r="E53">
        <v>0</v>
      </c>
      <c r="F53" t="s">
        <v>13</v>
      </c>
      <c r="G53" t="s">
        <v>21</v>
      </c>
      <c r="H53" t="s">
        <v>18</v>
      </c>
      <c r="I53">
        <v>4</v>
      </c>
      <c r="J53" t="s">
        <v>45</v>
      </c>
      <c r="K53" t="s">
        <v>24</v>
      </c>
      <c r="L53">
        <v>35</v>
      </c>
      <c r="M53" t="str">
        <f t="shared" si="0"/>
        <v>Middle Age</v>
      </c>
      <c r="N53" t="s">
        <v>18</v>
      </c>
    </row>
    <row r="54" spans="1:14" x14ac:dyDescent="0.3">
      <c r="A54">
        <v>12558</v>
      </c>
      <c r="B54" t="s">
        <v>50</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50</v>
      </c>
      <c r="C57" t="s">
        <v>36</v>
      </c>
      <c r="D57" s="3">
        <v>80000</v>
      </c>
      <c r="E57">
        <v>4</v>
      </c>
      <c r="F57" t="s">
        <v>27</v>
      </c>
      <c r="G57" t="s">
        <v>21</v>
      </c>
      <c r="H57" t="s">
        <v>15</v>
      </c>
      <c r="I57">
        <v>2</v>
      </c>
      <c r="J57" t="s">
        <v>45</v>
      </c>
      <c r="K57" t="s">
        <v>17</v>
      </c>
      <c r="L57">
        <v>54</v>
      </c>
      <c r="M57" t="str">
        <f t="shared" si="0"/>
        <v>Middle Age</v>
      </c>
      <c r="N57" t="s">
        <v>18</v>
      </c>
    </row>
    <row r="58" spans="1:14" x14ac:dyDescent="0.3">
      <c r="A58">
        <v>12808</v>
      </c>
      <c r="B58" t="s">
        <v>50</v>
      </c>
      <c r="C58" t="s">
        <v>36</v>
      </c>
      <c r="D58" s="3">
        <v>40000</v>
      </c>
      <c r="E58">
        <v>0</v>
      </c>
      <c r="F58" t="s">
        <v>13</v>
      </c>
      <c r="G58" t="s">
        <v>20</v>
      </c>
      <c r="H58" t="s">
        <v>15</v>
      </c>
      <c r="I58">
        <v>0</v>
      </c>
      <c r="J58" t="s">
        <v>16</v>
      </c>
      <c r="K58" t="s">
        <v>17</v>
      </c>
      <c r="L58">
        <v>38</v>
      </c>
      <c r="M58" t="str">
        <f t="shared" si="0"/>
        <v>Middle Age</v>
      </c>
      <c r="N58" t="s">
        <v>15</v>
      </c>
    </row>
    <row r="59" spans="1:14" x14ac:dyDescent="0.3">
      <c r="A59">
        <v>20567</v>
      </c>
      <c r="B59" t="s">
        <v>50</v>
      </c>
      <c r="C59" t="s">
        <v>36</v>
      </c>
      <c r="D59" s="3">
        <v>130000</v>
      </c>
      <c r="E59">
        <v>4</v>
      </c>
      <c r="F59" t="s">
        <v>19</v>
      </c>
      <c r="G59" t="s">
        <v>21</v>
      </c>
      <c r="H59" t="s">
        <v>18</v>
      </c>
      <c r="I59">
        <v>4</v>
      </c>
      <c r="J59" t="s">
        <v>23</v>
      </c>
      <c r="K59" t="s">
        <v>17</v>
      </c>
      <c r="L59">
        <v>61</v>
      </c>
      <c r="M59" t="str">
        <f t="shared" si="0"/>
        <v>Old</v>
      </c>
      <c r="N59" t="s">
        <v>15</v>
      </c>
    </row>
    <row r="60" spans="1:14" x14ac:dyDescent="0.3">
      <c r="A60">
        <v>25502</v>
      </c>
      <c r="B60" t="s">
        <v>50</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50</v>
      </c>
      <c r="C61" t="s">
        <v>36</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50</v>
      </c>
      <c r="C64" t="s">
        <v>36</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36</v>
      </c>
      <c r="D65" s="3">
        <v>60000</v>
      </c>
      <c r="E65">
        <v>4</v>
      </c>
      <c r="F65" t="s">
        <v>13</v>
      </c>
      <c r="G65" t="s">
        <v>21</v>
      </c>
      <c r="H65" t="s">
        <v>15</v>
      </c>
      <c r="I65">
        <v>3</v>
      </c>
      <c r="J65" t="s">
        <v>45</v>
      </c>
      <c r="K65" t="s">
        <v>24</v>
      </c>
      <c r="L65">
        <v>41</v>
      </c>
      <c r="M65" t="str">
        <f t="shared" si="0"/>
        <v>Middle Age</v>
      </c>
      <c r="N65" t="s">
        <v>18</v>
      </c>
    </row>
    <row r="66" spans="1:14" x14ac:dyDescent="0.3">
      <c r="A66">
        <v>14927</v>
      </c>
      <c r="B66" t="s">
        <v>50</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36</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50</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36</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50</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50</v>
      </c>
      <c r="C72" t="s">
        <v>36</v>
      </c>
      <c r="D72" s="3">
        <v>120000</v>
      </c>
      <c r="E72">
        <v>0</v>
      </c>
      <c r="F72" t="s">
        <v>29</v>
      </c>
      <c r="G72" t="s">
        <v>21</v>
      </c>
      <c r="H72" t="s">
        <v>15</v>
      </c>
      <c r="I72">
        <v>4</v>
      </c>
      <c r="J72" t="s">
        <v>45</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50</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50</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50</v>
      </c>
      <c r="C79" t="s">
        <v>36</v>
      </c>
      <c r="D79" s="3">
        <v>80000</v>
      </c>
      <c r="E79">
        <v>0</v>
      </c>
      <c r="F79" t="s">
        <v>13</v>
      </c>
      <c r="G79" t="s">
        <v>21</v>
      </c>
      <c r="H79" t="s">
        <v>15</v>
      </c>
      <c r="I79">
        <v>2</v>
      </c>
      <c r="J79" t="s">
        <v>45</v>
      </c>
      <c r="K79" t="s">
        <v>24</v>
      </c>
      <c r="L79">
        <v>29</v>
      </c>
      <c r="M79" t="str">
        <f t="shared" si="1"/>
        <v>Adolescent</v>
      </c>
      <c r="N79" t="s">
        <v>15</v>
      </c>
    </row>
    <row r="80" spans="1:14" x14ac:dyDescent="0.3">
      <c r="A80">
        <v>15752</v>
      </c>
      <c r="B80" t="s">
        <v>50</v>
      </c>
      <c r="C80" t="s">
        <v>36</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36</v>
      </c>
      <c r="D81" s="3">
        <v>40000</v>
      </c>
      <c r="E81">
        <v>2</v>
      </c>
      <c r="F81" t="s">
        <v>13</v>
      </c>
      <c r="G81" t="s">
        <v>28</v>
      </c>
      <c r="H81" t="s">
        <v>15</v>
      </c>
      <c r="I81">
        <v>2</v>
      </c>
      <c r="J81" t="s">
        <v>23</v>
      </c>
      <c r="K81" t="s">
        <v>24</v>
      </c>
      <c r="L81">
        <v>63</v>
      </c>
      <c r="M81" t="str">
        <f t="shared" si="1"/>
        <v>Old</v>
      </c>
      <c r="N81" t="s">
        <v>15</v>
      </c>
    </row>
    <row r="82" spans="1:14" x14ac:dyDescent="0.3">
      <c r="A82">
        <v>20828</v>
      </c>
      <c r="B82" t="s">
        <v>50</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50</v>
      </c>
      <c r="C84" t="s">
        <v>36</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36</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36</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36</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36</v>
      </c>
      <c r="D88" s="3">
        <v>130000</v>
      </c>
      <c r="E88">
        <v>3</v>
      </c>
      <c r="F88" t="s">
        <v>19</v>
      </c>
      <c r="G88" t="s">
        <v>21</v>
      </c>
      <c r="H88" t="s">
        <v>18</v>
      </c>
      <c r="I88">
        <v>3</v>
      </c>
      <c r="J88" t="s">
        <v>16</v>
      </c>
      <c r="K88" t="s">
        <v>17</v>
      </c>
      <c r="L88">
        <v>51</v>
      </c>
      <c r="M88" t="str">
        <f t="shared" si="1"/>
        <v>Middle Age</v>
      </c>
      <c r="N88" t="s">
        <v>15</v>
      </c>
    </row>
    <row r="89" spans="1:14" x14ac:dyDescent="0.3">
      <c r="A89">
        <v>19608</v>
      </c>
      <c r="B89" t="s">
        <v>50</v>
      </c>
      <c r="C89" t="s">
        <v>36</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36</v>
      </c>
      <c r="D90" s="3">
        <v>30000</v>
      </c>
      <c r="E90">
        <v>0</v>
      </c>
      <c r="F90" t="s">
        <v>19</v>
      </c>
      <c r="G90" t="s">
        <v>20</v>
      </c>
      <c r="H90" t="s">
        <v>18</v>
      </c>
      <c r="I90">
        <v>1</v>
      </c>
      <c r="J90" t="s">
        <v>22</v>
      </c>
      <c r="K90" t="s">
        <v>17</v>
      </c>
      <c r="L90">
        <v>29</v>
      </c>
      <c r="M90" t="str">
        <f t="shared" si="1"/>
        <v>Adolescent</v>
      </c>
      <c r="N90" t="s">
        <v>18</v>
      </c>
    </row>
    <row r="91" spans="1:14" x14ac:dyDescent="0.3">
      <c r="A91">
        <v>25458</v>
      </c>
      <c r="B91" t="s">
        <v>50</v>
      </c>
      <c r="C91" t="s">
        <v>36</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36</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38</v>
      </c>
      <c r="D97" s="3">
        <v>90000</v>
      </c>
      <c r="E97">
        <v>5</v>
      </c>
      <c r="F97" t="s">
        <v>19</v>
      </c>
      <c r="G97" t="s">
        <v>21</v>
      </c>
      <c r="H97" t="s">
        <v>15</v>
      </c>
      <c r="I97">
        <v>2</v>
      </c>
      <c r="J97" t="s">
        <v>45</v>
      </c>
      <c r="K97" t="s">
        <v>17</v>
      </c>
      <c r="L97">
        <v>62</v>
      </c>
      <c r="M97" t="str">
        <f t="shared" si="1"/>
        <v>Old</v>
      </c>
      <c r="N97" t="s">
        <v>18</v>
      </c>
    </row>
    <row r="98" spans="1:14" x14ac:dyDescent="0.3">
      <c r="A98">
        <v>12507</v>
      </c>
      <c r="B98" t="s">
        <v>50</v>
      </c>
      <c r="C98" t="s">
        <v>36</v>
      </c>
      <c r="D98" s="3">
        <v>30000</v>
      </c>
      <c r="E98">
        <v>1</v>
      </c>
      <c r="F98" t="s">
        <v>19</v>
      </c>
      <c r="G98" t="s">
        <v>20</v>
      </c>
      <c r="H98" t="s">
        <v>15</v>
      </c>
      <c r="I98">
        <v>1</v>
      </c>
      <c r="J98" t="s">
        <v>16</v>
      </c>
      <c r="K98" t="s">
        <v>17</v>
      </c>
      <c r="L98">
        <v>43</v>
      </c>
      <c r="M98" t="str">
        <f t="shared" si="1"/>
        <v>Middle Age</v>
      </c>
      <c r="N98" t="s">
        <v>18</v>
      </c>
    </row>
    <row r="99" spans="1:14" x14ac:dyDescent="0.3">
      <c r="A99">
        <v>23940</v>
      </c>
      <c r="B99" t="s">
        <v>50</v>
      </c>
      <c r="C99" t="s">
        <v>36</v>
      </c>
      <c r="D99" s="3">
        <v>40000</v>
      </c>
      <c r="E99">
        <v>1</v>
      </c>
      <c r="F99" t="s">
        <v>13</v>
      </c>
      <c r="G99" t="s">
        <v>14</v>
      </c>
      <c r="H99" t="s">
        <v>15</v>
      </c>
      <c r="I99">
        <v>1</v>
      </c>
      <c r="J99" t="s">
        <v>16</v>
      </c>
      <c r="K99" t="s">
        <v>17</v>
      </c>
      <c r="L99">
        <v>44</v>
      </c>
      <c r="M99" t="str">
        <f t="shared" si="1"/>
        <v>Middle Age</v>
      </c>
      <c r="N99" t="s">
        <v>15</v>
      </c>
    </row>
    <row r="100" spans="1:14" x14ac:dyDescent="0.3">
      <c r="A100">
        <v>19441</v>
      </c>
      <c r="B100" t="s">
        <v>50</v>
      </c>
      <c r="C100" t="s">
        <v>36</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50</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36</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36</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50</v>
      </c>
      <c r="C104" t="s">
        <v>36</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36</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50</v>
      </c>
      <c r="C108" t="s">
        <v>36</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50</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36</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50</v>
      </c>
      <c r="C116" t="s">
        <v>36</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36</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50</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50</v>
      </c>
      <c r="C120" t="s">
        <v>36</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50</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50</v>
      </c>
      <c r="C123" t="s">
        <v>36</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45</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50</v>
      </c>
      <c r="C127" t="s">
        <v>36</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36</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50</v>
      </c>
      <c r="C129" t="s">
        <v>36</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36</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36</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50</v>
      </c>
      <c r="C132" t="s">
        <v>36</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50</v>
      </c>
      <c r="C133" t="s">
        <v>36</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50</v>
      </c>
      <c r="C134" t="s">
        <v>36</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36</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50</v>
      </c>
      <c r="C137" t="s">
        <v>36</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36</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50</v>
      </c>
      <c r="C140" t="s">
        <v>38</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36</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50</v>
      </c>
      <c r="C144" t="s">
        <v>36</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50</v>
      </c>
      <c r="C145" t="s">
        <v>38</v>
      </c>
      <c r="D145" s="3">
        <v>80000</v>
      </c>
      <c r="E145">
        <v>0</v>
      </c>
      <c r="F145" t="s">
        <v>13</v>
      </c>
      <c r="G145" t="s">
        <v>21</v>
      </c>
      <c r="H145" t="s">
        <v>15</v>
      </c>
      <c r="I145">
        <v>3</v>
      </c>
      <c r="J145" t="s">
        <v>45</v>
      </c>
      <c r="K145" t="s">
        <v>24</v>
      </c>
      <c r="L145">
        <v>32</v>
      </c>
      <c r="M145" t="str">
        <f t="shared" si="2"/>
        <v>Middle Age</v>
      </c>
      <c r="N145" t="s">
        <v>18</v>
      </c>
    </row>
    <row r="146" spans="1:14" x14ac:dyDescent="0.3">
      <c r="A146">
        <v>20877</v>
      </c>
      <c r="B146" t="s">
        <v>37</v>
      </c>
      <c r="C146" t="s">
        <v>36</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50</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50</v>
      </c>
      <c r="C148" t="s">
        <v>36</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50</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50</v>
      </c>
      <c r="C150" t="s">
        <v>36</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36</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50</v>
      </c>
      <c r="C152" t="s">
        <v>36</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36</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50</v>
      </c>
      <c r="C155" t="s">
        <v>36</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36</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50</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36</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50</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50</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36</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50</v>
      </c>
      <c r="C166" t="s">
        <v>36</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50</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36</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36</v>
      </c>
      <c r="D169" s="3">
        <v>100000</v>
      </c>
      <c r="E169">
        <v>0</v>
      </c>
      <c r="F169" t="s">
        <v>27</v>
      </c>
      <c r="G169" t="s">
        <v>28</v>
      </c>
      <c r="H169" t="s">
        <v>15</v>
      </c>
      <c r="I169">
        <v>3</v>
      </c>
      <c r="J169" t="s">
        <v>45</v>
      </c>
      <c r="K169" t="s">
        <v>24</v>
      </c>
      <c r="L169">
        <v>35</v>
      </c>
      <c r="M169" t="str">
        <f t="shared" si="2"/>
        <v>Middle Age</v>
      </c>
      <c r="N169" t="s">
        <v>18</v>
      </c>
    </row>
    <row r="170" spans="1:14" x14ac:dyDescent="0.3">
      <c r="A170">
        <v>14058</v>
      </c>
      <c r="B170" t="s">
        <v>37</v>
      </c>
      <c r="C170" t="s">
        <v>36</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50</v>
      </c>
      <c r="C171" t="s">
        <v>36</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50</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50</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50</v>
      </c>
      <c r="C174" t="s">
        <v>36</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50</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36</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50</v>
      </c>
      <c r="C180" t="s">
        <v>36</v>
      </c>
      <c r="D180" s="3">
        <v>160000</v>
      </c>
      <c r="E180">
        <v>4</v>
      </c>
      <c r="F180" t="s">
        <v>19</v>
      </c>
      <c r="G180" t="s">
        <v>21</v>
      </c>
      <c r="H180" t="s">
        <v>18</v>
      </c>
      <c r="I180">
        <v>2</v>
      </c>
      <c r="J180" t="s">
        <v>45</v>
      </c>
      <c r="K180" t="s">
        <v>17</v>
      </c>
      <c r="L180">
        <v>55</v>
      </c>
      <c r="M180" t="str">
        <f t="shared" si="2"/>
        <v>Middle Age</v>
      </c>
      <c r="N180" t="s">
        <v>15</v>
      </c>
    </row>
    <row r="181" spans="1:14" x14ac:dyDescent="0.3">
      <c r="A181">
        <v>12212</v>
      </c>
      <c r="B181" t="s">
        <v>50</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36</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50</v>
      </c>
      <c r="C183" t="s">
        <v>38</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50</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36</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50</v>
      </c>
      <c r="C186" t="s">
        <v>38</v>
      </c>
      <c r="D186" s="3">
        <v>130000</v>
      </c>
      <c r="E186">
        <v>4</v>
      </c>
      <c r="F186" t="s">
        <v>27</v>
      </c>
      <c r="G186" t="s">
        <v>28</v>
      </c>
      <c r="H186" t="s">
        <v>18</v>
      </c>
      <c r="I186">
        <v>4</v>
      </c>
      <c r="J186" t="s">
        <v>45</v>
      </c>
      <c r="K186" t="s">
        <v>17</v>
      </c>
      <c r="L186">
        <v>58</v>
      </c>
      <c r="M186" t="str">
        <f t="shared" si="2"/>
        <v>Old</v>
      </c>
      <c r="N186" t="s">
        <v>18</v>
      </c>
    </row>
    <row r="187" spans="1:14" x14ac:dyDescent="0.3">
      <c r="A187">
        <v>15799</v>
      </c>
      <c r="B187" t="s">
        <v>50</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50</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36</v>
      </c>
      <c r="D189" s="3">
        <v>80000</v>
      </c>
      <c r="E189">
        <v>5</v>
      </c>
      <c r="F189" t="s">
        <v>19</v>
      </c>
      <c r="G189" t="s">
        <v>21</v>
      </c>
      <c r="H189" t="s">
        <v>18</v>
      </c>
      <c r="I189">
        <v>2</v>
      </c>
      <c r="J189" t="s">
        <v>45</v>
      </c>
      <c r="K189" t="s">
        <v>17</v>
      </c>
      <c r="L189">
        <v>59</v>
      </c>
      <c r="M189" t="str">
        <f t="shared" si="2"/>
        <v>Old</v>
      </c>
      <c r="N189" t="s">
        <v>18</v>
      </c>
    </row>
    <row r="190" spans="1:14" x14ac:dyDescent="0.3">
      <c r="A190">
        <v>20606</v>
      </c>
      <c r="B190" t="s">
        <v>50</v>
      </c>
      <c r="C190" t="s">
        <v>38</v>
      </c>
      <c r="D190" s="3">
        <v>70000</v>
      </c>
      <c r="E190">
        <v>0</v>
      </c>
      <c r="F190" t="s">
        <v>13</v>
      </c>
      <c r="G190" t="s">
        <v>21</v>
      </c>
      <c r="H190" t="s">
        <v>15</v>
      </c>
      <c r="I190">
        <v>4</v>
      </c>
      <c r="J190" t="s">
        <v>45</v>
      </c>
      <c r="K190" t="s">
        <v>24</v>
      </c>
      <c r="L190">
        <v>32</v>
      </c>
      <c r="M190" t="str">
        <f t="shared" si="2"/>
        <v>Middle Age</v>
      </c>
      <c r="N190" t="s">
        <v>15</v>
      </c>
    </row>
    <row r="191" spans="1:14" x14ac:dyDescent="0.3">
      <c r="A191">
        <v>19482</v>
      </c>
      <c r="B191" t="s">
        <v>50</v>
      </c>
      <c r="C191" t="s">
        <v>36</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50</v>
      </c>
      <c r="C192" t="s">
        <v>36</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36</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45</v>
      </c>
      <c r="K194" t="s">
        <v>17</v>
      </c>
      <c r="L194">
        <v>62</v>
      </c>
      <c r="M194" t="str">
        <f t="shared" si="2"/>
        <v>Old</v>
      </c>
      <c r="N194" t="s">
        <v>18</v>
      </c>
    </row>
    <row r="195" spans="1:14" x14ac:dyDescent="0.3">
      <c r="A195">
        <v>26032</v>
      </c>
      <c r="B195" t="s">
        <v>50</v>
      </c>
      <c r="C195" t="s">
        <v>38</v>
      </c>
      <c r="D195" s="3">
        <v>70000</v>
      </c>
      <c r="E195">
        <v>5</v>
      </c>
      <c r="F195" t="s">
        <v>13</v>
      </c>
      <c r="G195" t="s">
        <v>21</v>
      </c>
      <c r="H195" t="s">
        <v>15</v>
      </c>
      <c r="I195">
        <v>4</v>
      </c>
      <c r="J195" t="s">
        <v>45</v>
      </c>
      <c r="K195" t="s">
        <v>24</v>
      </c>
      <c r="L195">
        <v>41</v>
      </c>
      <c r="M195" t="str">
        <f t="shared" ref="M195:M258" si="3">IF(L195&gt;55,"Old",IF(L195&gt;=31,"Middle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36</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50</v>
      </c>
      <c r="C199" t="s">
        <v>36</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36</v>
      </c>
      <c r="D201" s="3">
        <v>80000</v>
      </c>
      <c r="E201">
        <v>0</v>
      </c>
      <c r="F201" t="s">
        <v>13</v>
      </c>
      <c r="G201" t="s">
        <v>21</v>
      </c>
      <c r="H201" t="s">
        <v>18</v>
      </c>
      <c r="I201">
        <v>3</v>
      </c>
      <c r="J201" t="s">
        <v>45</v>
      </c>
      <c r="K201" t="s">
        <v>24</v>
      </c>
      <c r="L201">
        <v>33</v>
      </c>
      <c r="M201" t="str">
        <f t="shared" si="3"/>
        <v>Middle Age</v>
      </c>
      <c r="N201" t="s">
        <v>15</v>
      </c>
    </row>
    <row r="202" spans="1:14" x14ac:dyDescent="0.3">
      <c r="A202">
        <v>24584</v>
      </c>
      <c r="B202" t="s">
        <v>37</v>
      </c>
      <c r="C202" t="s">
        <v>36</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50</v>
      </c>
      <c r="C203" t="s">
        <v>36</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36</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50</v>
      </c>
      <c r="C207" t="s">
        <v>36</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36</v>
      </c>
      <c r="D208" s="3">
        <v>90000</v>
      </c>
      <c r="E208">
        <v>5</v>
      </c>
      <c r="F208" t="s">
        <v>19</v>
      </c>
      <c r="G208" t="s">
        <v>21</v>
      </c>
      <c r="H208" t="s">
        <v>18</v>
      </c>
      <c r="I208">
        <v>2</v>
      </c>
      <c r="J208" t="s">
        <v>45</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50</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50</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36</v>
      </c>
      <c r="D215" s="3">
        <v>70000</v>
      </c>
      <c r="E215">
        <v>0</v>
      </c>
      <c r="F215" t="s">
        <v>13</v>
      </c>
      <c r="G215" t="s">
        <v>21</v>
      </c>
      <c r="H215" t="s">
        <v>18</v>
      </c>
      <c r="I215">
        <v>4</v>
      </c>
      <c r="J215" t="s">
        <v>45</v>
      </c>
      <c r="K215" t="s">
        <v>24</v>
      </c>
      <c r="L215">
        <v>31</v>
      </c>
      <c r="M215" t="str">
        <f t="shared" si="3"/>
        <v>Middle Age</v>
      </c>
      <c r="N215" t="s">
        <v>15</v>
      </c>
    </row>
    <row r="216" spans="1:14" x14ac:dyDescent="0.3">
      <c r="A216">
        <v>25553</v>
      </c>
      <c r="B216" t="s">
        <v>50</v>
      </c>
      <c r="C216" t="s">
        <v>36</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36</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50</v>
      </c>
      <c r="C218" t="s">
        <v>36</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36</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36</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50</v>
      </c>
      <c r="C222" t="s">
        <v>36</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36</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50</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45</v>
      </c>
      <c r="K225" t="s">
        <v>24</v>
      </c>
      <c r="L225">
        <v>39</v>
      </c>
      <c r="M225" t="str">
        <f t="shared" si="3"/>
        <v>Middle Age</v>
      </c>
      <c r="N225" t="s">
        <v>18</v>
      </c>
    </row>
    <row r="226" spans="1:14" x14ac:dyDescent="0.3">
      <c r="A226">
        <v>19650</v>
      </c>
      <c r="B226" t="s">
        <v>50</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50</v>
      </c>
      <c r="C227" t="s">
        <v>36</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50</v>
      </c>
      <c r="C229" t="s">
        <v>36</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50</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36</v>
      </c>
      <c r="D231" s="3">
        <v>80000</v>
      </c>
      <c r="E231">
        <v>5</v>
      </c>
      <c r="F231" t="s">
        <v>27</v>
      </c>
      <c r="G231" t="s">
        <v>28</v>
      </c>
      <c r="H231" t="s">
        <v>15</v>
      </c>
      <c r="I231">
        <v>3</v>
      </c>
      <c r="J231" t="s">
        <v>45</v>
      </c>
      <c r="K231" t="s">
        <v>17</v>
      </c>
      <c r="L231">
        <v>57</v>
      </c>
      <c r="M231" t="str">
        <f t="shared" si="3"/>
        <v>Old</v>
      </c>
      <c r="N231" t="s">
        <v>18</v>
      </c>
    </row>
    <row r="232" spans="1:14" x14ac:dyDescent="0.3">
      <c r="A232">
        <v>22830</v>
      </c>
      <c r="B232" t="s">
        <v>50</v>
      </c>
      <c r="C232" t="s">
        <v>36</v>
      </c>
      <c r="D232" s="3">
        <v>120000</v>
      </c>
      <c r="E232">
        <v>4</v>
      </c>
      <c r="F232" t="s">
        <v>19</v>
      </c>
      <c r="G232" t="s">
        <v>28</v>
      </c>
      <c r="H232" t="s">
        <v>15</v>
      </c>
      <c r="I232">
        <v>3</v>
      </c>
      <c r="J232" t="s">
        <v>45</v>
      </c>
      <c r="K232" t="s">
        <v>17</v>
      </c>
      <c r="L232">
        <v>56</v>
      </c>
      <c r="M232" t="str">
        <f t="shared" si="3"/>
        <v>Old</v>
      </c>
      <c r="N232" t="s">
        <v>18</v>
      </c>
    </row>
    <row r="233" spans="1:14" x14ac:dyDescent="0.3">
      <c r="A233">
        <v>14777</v>
      </c>
      <c r="B233" t="s">
        <v>50</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50</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50</v>
      </c>
      <c r="C235" t="s">
        <v>36</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36</v>
      </c>
      <c r="D236" s="3">
        <v>90000</v>
      </c>
      <c r="E236">
        <v>0</v>
      </c>
      <c r="F236" t="s">
        <v>13</v>
      </c>
      <c r="G236" t="s">
        <v>21</v>
      </c>
      <c r="H236" t="s">
        <v>18</v>
      </c>
      <c r="I236">
        <v>4</v>
      </c>
      <c r="J236" t="s">
        <v>45</v>
      </c>
      <c r="K236" t="s">
        <v>24</v>
      </c>
      <c r="L236">
        <v>35</v>
      </c>
      <c r="M236" t="str">
        <f t="shared" si="3"/>
        <v>Middle Age</v>
      </c>
      <c r="N236" t="s">
        <v>15</v>
      </c>
    </row>
    <row r="237" spans="1:14" x14ac:dyDescent="0.3">
      <c r="A237">
        <v>11340</v>
      </c>
      <c r="B237" t="s">
        <v>50</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50</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50</v>
      </c>
      <c r="C240" t="s">
        <v>36</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50</v>
      </c>
      <c r="C242" t="s">
        <v>36</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36</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50</v>
      </c>
      <c r="C246" t="s">
        <v>38</v>
      </c>
      <c r="D246" s="3">
        <v>120000</v>
      </c>
      <c r="E246">
        <v>3</v>
      </c>
      <c r="F246" t="s">
        <v>13</v>
      </c>
      <c r="G246" t="s">
        <v>28</v>
      </c>
      <c r="H246" t="s">
        <v>18</v>
      </c>
      <c r="I246">
        <v>2</v>
      </c>
      <c r="J246" t="s">
        <v>45</v>
      </c>
      <c r="K246" t="s">
        <v>17</v>
      </c>
      <c r="L246">
        <v>52</v>
      </c>
      <c r="M246" t="str">
        <f t="shared" si="3"/>
        <v>Middle Age</v>
      </c>
      <c r="N246" t="s">
        <v>15</v>
      </c>
    </row>
    <row r="247" spans="1:14" x14ac:dyDescent="0.3">
      <c r="A247">
        <v>18494</v>
      </c>
      <c r="B247" t="s">
        <v>50</v>
      </c>
      <c r="C247" t="s">
        <v>36</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50</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50</v>
      </c>
      <c r="C249" t="s">
        <v>38</v>
      </c>
      <c r="D249" s="3">
        <v>100000</v>
      </c>
      <c r="E249">
        <v>0</v>
      </c>
      <c r="F249" t="s">
        <v>27</v>
      </c>
      <c r="G249" t="s">
        <v>28</v>
      </c>
      <c r="H249" t="s">
        <v>15</v>
      </c>
      <c r="I249">
        <v>4</v>
      </c>
      <c r="J249" t="s">
        <v>45</v>
      </c>
      <c r="K249" t="s">
        <v>24</v>
      </c>
      <c r="L249">
        <v>34</v>
      </c>
      <c r="M249" t="str">
        <f t="shared" si="3"/>
        <v>Middle Age</v>
      </c>
      <c r="N249" t="s">
        <v>15</v>
      </c>
    </row>
    <row r="250" spans="1:14" x14ac:dyDescent="0.3">
      <c r="A250">
        <v>13981</v>
      </c>
      <c r="B250" t="s">
        <v>50</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36</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50</v>
      </c>
      <c r="C252" t="s">
        <v>36</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50</v>
      </c>
      <c r="C253" t="s">
        <v>36</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36</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50</v>
      </c>
      <c r="C255" t="s">
        <v>36</v>
      </c>
      <c r="D255" s="3">
        <v>100000</v>
      </c>
      <c r="E255">
        <v>3</v>
      </c>
      <c r="F255" t="s">
        <v>29</v>
      </c>
      <c r="G255" t="s">
        <v>21</v>
      </c>
      <c r="H255" t="s">
        <v>15</v>
      </c>
      <c r="I255">
        <v>0</v>
      </c>
      <c r="J255" t="s">
        <v>45</v>
      </c>
      <c r="K255" t="s">
        <v>17</v>
      </c>
      <c r="L255">
        <v>59</v>
      </c>
      <c r="M255" t="str">
        <f t="shared" si="3"/>
        <v>Old</v>
      </c>
      <c r="N255" t="s">
        <v>15</v>
      </c>
    </row>
    <row r="256" spans="1:14" x14ac:dyDescent="0.3">
      <c r="A256">
        <v>21375</v>
      </c>
      <c r="B256" t="s">
        <v>37</v>
      </c>
      <c r="C256" t="s">
        <v>36</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50</v>
      </c>
      <c r="C258" t="s">
        <v>36</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45</v>
      </c>
      <c r="K260" t="s">
        <v>17</v>
      </c>
      <c r="L260">
        <v>56</v>
      </c>
      <c r="M260" t="str">
        <f t="shared" si="4"/>
        <v>Old</v>
      </c>
      <c r="N260" t="s">
        <v>18</v>
      </c>
    </row>
    <row r="261" spans="1:14" x14ac:dyDescent="0.3">
      <c r="A261">
        <v>12705</v>
      </c>
      <c r="B261" t="s">
        <v>50</v>
      </c>
      <c r="C261" t="s">
        <v>36</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50</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50</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45</v>
      </c>
      <c r="K265" t="s">
        <v>24</v>
      </c>
      <c r="L265">
        <v>39</v>
      </c>
      <c r="M265" t="str">
        <f t="shared" si="4"/>
        <v>Middle Age</v>
      </c>
      <c r="N265" t="s">
        <v>18</v>
      </c>
    </row>
    <row r="266" spans="1:14" x14ac:dyDescent="0.3">
      <c r="A266">
        <v>17964</v>
      </c>
      <c r="B266" t="s">
        <v>50</v>
      </c>
      <c r="C266" t="s">
        <v>36</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36</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50</v>
      </c>
      <c r="C270" t="s">
        <v>36</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50</v>
      </c>
      <c r="C274" t="s">
        <v>36</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50</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50</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50</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50</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50</v>
      </c>
      <c r="C280" t="s">
        <v>36</v>
      </c>
      <c r="D280" s="3">
        <v>100000</v>
      </c>
      <c r="E280">
        <v>0</v>
      </c>
      <c r="F280" t="s">
        <v>27</v>
      </c>
      <c r="G280" t="s">
        <v>28</v>
      </c>
      <c r="H280" t="s">
        <v>15</v>
      </c>
      <c r="I280">
        <v>3</v>
      </c>
      <c r="J280" t="s">
        <v>45</v>
      </c>
      <c r="K280" t="s">
        <v>24</v>
      </c>
      <c r="L280">
        <v>35</v>
      </c>
      <c r="M280" t="str">
        <f t="shared" si="4"/>
        <v>Middle Age</v>
      </c>
      <c r="N280" t="s">
        <v>15</v>
      </c>
    </row>
    <row r="281" spans="1:14" x14ac:dyDescent="0.3">
      <c r="A281">
        <v>16390</v>
      </c>
      <c r="B281" t="s">
        <v>37</v>
      </c>
      <c r="C281" t="s">
        <v>36</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36</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36</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50</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36</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50</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50</v>
      </c>
      <c r="C290" t="s">
        <v>36</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50</v>
      </c>
      <c r="C291" t="s">
        <v>36</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50</v>
      </c>
      <c r="C293" t="s">
        <v>36</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50</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36</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45</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50</v>
      </c>
      <c r="C299" t="s">
        <v>36</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50</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50</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36</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50</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50</v>
      </c>
      <c r="C306" t="s">
        <v>36</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36</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50</v>
      </c>
      <c r="C308" t="s">
        <v>36</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50</v>
      </c>
      <c r="C309" t="s">
        <v>36</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50</v>
      </c>
      <c r="C310" t="s">
        <v>36</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50</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50</v>
      </c>
      <c r="C312" t="s">
        <v>36</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50</v>
      </c>
      <c r="C313" t="s">
        <v>36</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50</v>
      </c>
      <c r="C314" t="s">
        <v>36</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36</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50</v>
      </c>
      <c r="C316" t="s">
        <v>36</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36</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50</v>
      </c>
      <c r="C318" t="s">
        <v>36</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50</v>
      </c>
      <c r="C319" t="s">
        <v>36</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50</v>
      </c>
      <c r="C320" t="s">
        <v>36</v>
      </c>
      <c r="D320" s="3">
        <v>130000</v>
      </c>
      <c r="E320">
        <v>4</v>
      </c>
      <c r="F320" t="s">
        <v>19</v>
      </c>
      <c r="G320" t="s">
        <v>21</v>
      </c>
      <c r="H320" t="s">
        <v>18</v>
      </c>
      <c r="I320">
        <v>3</v>
      </c>
      <c r="J320" t="s">
        <v>45</v>
      </c>
      <c r="K320" t="s">
        <v>17</v>
      </c>
      <c r="L320">
        <v>54</v>
      </c>
      <c r="M320" t="str">
        <f t="shared" si="4"/>
        <v>Middle Age</v>
      </c>
      <c r="N320" t="s">
        <v>18</v>
      </c>
    </row>
    <row r="321" spans="1:14" x14ac:dyDescent="0.3">
      <c r="A321">
        <v>11386</v>
      </c>
      <c r="B321" t="s">
        <v>50</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50</v>
      </c>
      <c r="C322" t="s">
        <v>36</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50</v>
      </c>
      <c r="C326" t="s">
        <v>36</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36</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50</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50</v>
      </c>
      <c r="C329" t="s">
        <v>36</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36</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50</v>
      </c>
      <c r="C331" t="s">
        <v>38</v>
      </c>
      <c r="D331" s="3">
        <v>90000</v>
      </c>
      <c r="E331">
        <v>5</v>
      </c>
      <c r="F331" t="s">
        <v>29</v>
      </c>
      <c r="G331" t="s">
        <v>14</v>
      </c>
      <c r="H331" t="s">
        <v>15</v>
      </c>
      <c r="I331">
        <v>2</v>
      </c>
      <c r="J331" t="s">
        <v>45</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45</v>
      </c>
      <c r="K332" t="s">
        <v>24</v>
      </c>
      <c r="L332">
        <v>32</v>
      </c>
      <c r="M332" t="str">
        <f t="shared" si="5"/>
        <v>Middle Age</v>
      </c>
      <c r="N332" t="s">
        <v>18</v>
      </c>
    </row>
    <row r="333" spans="1:14" x14ac:dyDescent="0.3">
      <c r="A333">
        <v>19508</v>
      </c>
      <c r="B333" t="s">
        <v>50</v>
      </c>
      <c r="C333" t="s">
        <v>36</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50</v>
      </c>
      <c r="C335" t="s">
        <v>36</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50</v>
      </c>
      <c r="C336" t="s">
        <v>36</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50</v>
      </c>
      <c r="C337" t="s">
        <v>36</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36</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50</v>
      </c>
      <c r="C339" t="s">
        <v>36</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50</v>
      </c>
      <c r="C341" t="s">
        <v>36</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36</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36</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36</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50</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50</v>
      </c>
      <c r="C348" t="s">
        <v>36</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50</v>
      </c>
      <c r="C350" t="s">
        <v>36</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36</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36</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50</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36</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36</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36</v>
      </c>
      <c r="D357" s="3">
        <v>80000</v>
      </c>
      <c r="E357">
        <v>0</v>
      </c>
      <c r="F357" t="s">
        <v>13</v>
      </c>
      <c r="G357" t="s">
        <v>21</v>
      </c>
      <c r="H357" t="s">
        <v>15</v>
      </c>
      <c r="I357">
        <v>3</v>
      </c>
      <c r="J357" t="s">
        <v>45</v>
      </c>
      <c r="K357" t="s">
        <v>24</v>
      </c>
      <c r="L357">
        <v>32</v>
      </c>
      <c r="M357" t="str">
        <f t="shared" si="5"/>
        <v>Middle Age</v>
      </c>
      <c r="N357" t="s">
        <v>18</v>
      </c>
    </row>
    <row r="358" spans="1:14" x14ac:dyDescent="0.3">
      <c r="A358">
        <v>23608</v>
      </c>
      <c r="B358" t="s">
        <v>50</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50</v>
      </c>
      <c r="C360" t="s">
        <v>36</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50</v>
      </c>
      <c r="C361" t="s">
        <v>36</v>
      </c>
      <c r="D361" s="3">
        <v>80000</v>
      </c>
      <c r="E361">
        <v>0</v>
      </c>
      <c r="F361" t="s">
        <v>13</v>
      </c>
      <c r="G361" t="s">
        <v>21</v>
      </c>
      <c r="H361" t="s">
        <v>15</v>
      </c>
      <c r="I361">
        <v>3</v>
      </c>
      <c r="J361" t="s">
        <v>45</v>
      </c>
      <c r="K361" t="s">
        <v>24</v>
      </c>
      <c r="L361">
        <v>30</v>
      </c>
      <c r="M361" t="str">
        <f t="shared" si="5"/>
        <v>Adolescent</v>
      </c>
      <c r="N361" t="s">
        <v>18</v>
      </c>
    </row>
    <row r="362" spans="1:14" x14ac:dyDescent="0.3">
      <c r="A362">
        <v>13082</v>
      </c>
      <c r="B362" t="s">
        <v>37</v>
      </c>
      <c r="C362" t="s">
        <v>36</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50</v>
      </c>
      <c r="C364" t="s">
        <v>36</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50</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50</v>
      </c>
      <c r="C368" t="s">
        <v>36</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50</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50</v>
      </c>
      <c r="C372" t="s">
        <v>38</v>
      </c>
      <c r="D372" s="3">
        <v>100000</v>
      </c>
      <c r="E372">
        <v>4</v>
      </c>
      <c r="F372" t="s">
        <v>13</v>
      </c>
      <c r="G372" t="s">
        <v>21</v>
      </c>
      <c r="H372" t="s">
        <v>15</v>
      </c>
      <c r="I372">
        <v>1</v>
      </c>
      <c r="J372" t="s">
        <v>45</v>
      </c>
      <c r="K372" t="s">
        <v>24</v>
      </c>
      <c r="L372">
        <v>46</v>
      </c>
      <c r="M372" t="str">
        <f t="shared" si="5"/>
        <v>Middle Age</v>
      </c>
      <c r="N372" t="s">
        <v>18</v>
      </c>
    </row>
    <row r="373" spans="1:14" x14ac:dyDescent="0.3">
      <c r="A373">
        <v>22918</v>
      </c>
      <c r="B373" t="s">
        <v>37</v>
      </c>
      <c r="C373" t="s">
        <v>36</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50</v>
      </c>
      <c r="C374" t="s">
        <v>36</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36</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50</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50</v>
      </c>
      <c r="C378" t="s">
        <v>36</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50</v>
      </c>
      <c r="C379" t="s">
        <v>36</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50</v>
      </c>
      <c r="C380" t="s">
        <v>36</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50</v>
      </c>
      <c r="C381" t="s">
        <v>36</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36</v>
      </c>
      <c r="D382" s="3">
        <v>70000</v>
      </c>
      <c r="E382">
        <v>0</v>
      </c>
      <c r="F382" t="s">
        <v>13</v>
      </c>
      <c r="G382" t="s">
        <v>21</v>
      </c>
      <c r="H382" t="s">
        <v>18</v>
      </c>
      <c r="I382">
        <v>3</v>
      </c>
      <c r="J382" t="s">
        <v>45</v>
      </c>
      <c r="K382" t="s">
        <v>24</v>
      </c>
      <c r="L382">
        <v>30</v>
      </c>
      <c r="M382" t="str">
        <f t="shared" si="5"/>
        <v>Adolescent</v>
      </c>
      <c r="N382" t="s">
        <v>15</v>
      </c>
    </row>
    <row r="383" spans="1:14" x14ac:dyDescent="0.3">
      <c r="A383">
        <v>22974</v>
      </c>
      <c r="B383" t="s">
        <v>50</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50</v>
      </c>
      <c r="C384" t="s">
        <v>36</v>
      </c>
      <c r="D384" s="3">
        <v>80000</v>
      </c>
      <c r="E384">
        <v>4</v>
      </c>
      <c r="F384" t="s">
        <v>19</v>
      </c>
      <c r="G384" t="s">
        <v>21</v>
      </c>
      <c r="H384" t="s">
        <v>15</v>
      </c>
      <c r="I384">
        <v>2</v>
      </c>
      <c r="J384" t="s">
        <v>45</v>
      </c>
      <c r="K384" t="s">
        <v>17</v>
      </c>
      <c r="L384">
        <v>53</v>
      </c>
      <c r="M384" t="str">
        <f t="shared" si="5"/>
        <v>Middle Age</v>
      </c>
      <c r="N384" t="s">
        <v>18</v>
      </c>
    </row>
    <row r="385" spans="1:14" x14ac:dyDescent="0.3">
      <c r="A385">
        <v>17978</v>
      </c>
      <c r="B385" t="s">
        <v>50</v>
      </c>
      <c r="C385" t="s">
        <v>36</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36</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45</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50</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50</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36</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36</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50</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50</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50</v>
      </c>
      <c r="C397" t="s">
        <v>36</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36</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50</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36</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45</v>
      </c>
      <c r="K402" t="s">
        <v>17</v>
      </c>
      <c r="L402">
        <v>53</v>
      </c>
      <c r="M402" t="str">
        <f t="shared" si="6"/>
        <v>Middle Age</v>
      </c>
      <c r="N402" t="s">
        <v>18</v>
      </c>
    </row>
    <row r="403" spans="1:14" x14ac:dyDescent="0.3">
      <c r="A403">
        <v>11555</v>
      </c>
      <c r="B403" t="s">
        <v>50</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50</v>
      </c>
      <c r="C404" t="s">
        <v>36</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50</v>
      </c>
      <c r="C405" t="s">
        <v>36</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50</v>
      </c>
      <c r="C406" t="s">
        <v>36</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50</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50</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50</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50</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50</v>
      </c>
      <c r="C413" t="s">
        <v>36</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36</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50</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50</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36</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50</v>
      </c>
      <c r="C420" t="s">
        <v>36</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36</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50</v>
      </c>
      <c r="C422" t="s">
        <v>38</v>
      </c>
      <c r="D422" s="3">
        <v>100000</v>
      </c>
      <c r="E422">
        <v>2</v>
      </c>
      <c r="F422" t="s">
        <v>13</v>
      </c>
      <c r="G422" t="s">
        <v>28</v>
      </c>
      <c r="H422" t="s">
        <v>15</v>
      </c>
      <c r="I422">
        <v>4</v>
      </c>
      <c r="J422" t="s">
        <v>45</v>
      </c>
      <c r="K422" t="s">
        <v>17</v>
      </c>
      <c r="L422">
        <v>59</v>
      </c>
      <c r="M422" t="str">
        <f t="shared" si="6"/>
        <v>Old</v>
      </c>
      <c r="N422" t="s">
        <v>18</v>
      </c>
    </row>
    <row r="423" spans="1:14" x14ac:dyDescent="0.3">
      <c r="A423">
        <v>14547</v>
      </c>
      <c r="B423" t="s">
        <v>50</v>
      </c>
      <c r="C423" t="s">
        <v>36</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36</v>
      </c>
      <c r="D424" s="3">
        <v>110000</v>
      </c>
      <c r="E424">
        <v>0</v>
      </c>
      <c r="F424" t="s">
        <v>19</v>
      </c>
      <c r="G424" t="s">
        <v>28</v>
      </c>
      <c r="H424" t="s">
        <v>18</v>
      </c>
      <c r="I424">
        <v>3</v>
      </c>
      <c r="J424" t="s">
        <v>45</v>
      </c>
      <c r="K424" t="s">
        <v>24</v>
      </c>
      <c r="L424">
        <v>32</v>
      </c>
      <c r="M424" t="str">
        <f t="shared" si="6"/>
        <v>Middle Age</v>
      </c>
      <c r="N424" t="s">
        <v>15</v>
      </c>
    </row>
    <row r="425" spans="1:14" x14ac:dyDescent="0.3">
      <c r="A425">
        <v>27169</v>
      </c>
      <c r="B425" t="s">
        <v>37</v>
      </c>
      <c r="C425" t="s">
        <v>36</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50</v>
      </c>
      <c r="C427" t="s">
        <v>36</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36</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50</v>
      </c>
      <c r="C430" t="s">
        <v>36</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36</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50</v>
      </c>
      <c r="C434" t="s">
        <v>38</v>
      </c>
      <c r="D434" s="3">
        <v>110000</v>
      </c>
      <c r="E434">
        <v>0</v>
      </c>
      <c r="F434" t="s">
        <v>27</v>
      </c>
      <c r="G434" t="s">
        <v>28</v>
      </c>
      <c r="H434" t="s">
        <v>15</v>
      </c>
      <c r="I434">
        <v>3</v>
      </c>
      <c r="J434" t="s">
        <v>45</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50</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50</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50</v>
      </c>
      <c r="C441" t="s">
        <v>36</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36</v>
      </c>
      <c r="D442" s="3">
        <v>90000</v>
      </c>
      <c r="E442">
        <v>0</v>
      </c>
      <c r="F442" t="s">
        <v>13</v>
      </c>
      <c r="G442" t="s">
        <v>21</v>
      </c>
      <c r="H442" t="s">
        <v>18</v>
      </c>
      <c r="I442">
        <v>3</v>
      </c>
      <c r="J442" t="s">
        <v>45</v>
      </c>
      <c r="K442" t="s">
        <v>24</v>
      </c>
      <c r="L442">
        <v>34</v>
      </c>
      <c r="M442" t="str">
        <f t="shared" si="6"/>
        <v>Middle Age</v>
      </c>
      <c r="N442" t="s">
        <v>15</v>
      </c>
    </row>
    <row r="443" spans="1:14" x14ac:dyDescent="0.3">
      <c r="A443">
        <v>11061</v>
      </c>
      <c r="B443" t="s">
        <v>50</v>
      </c>
      <c r="C443" t="s">
        <v>36</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36</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50</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36</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50</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50</v>
      </c>
      <c r="C448" t="s">
        <v>38</v>
      </c>
      <c r="D448" s="3">
        <v>130000</v>
      </c>
      <c r="E448">
        <v>0</v>
      </c>
      <c r="F448" t="s">
        <v>31</v>
      </c>
      <c r="G448" t="s">
        <v>28</v>
      </c>
      <c r="H448" t="s">
        <v>15</v>
      </c>
      <c r="I448">
        <v>1</v>
      </c>
      <c r="J448" t="s">
        <v>45</v>
      </c>
      <c r="K448" t="s">
        <v>24</v>
      </c>
      <c r="L448">
        <v>48</v>
      </c>
      <c r="M448" t="str">
        <f t="shared" si="6"/>
        <v>Middle Age</v>
      </c>
      <c r="N448" t="s">
        <v>18</v>
      </c>
    </row>
    <row r="449" spans="1:14" x14ac:dyDescent="0.3">
      <c r="A449">
        <v>20711</v>
      </c>
      <c r="B449" t="s">
        <v>50</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50</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50</v>
      </c>
      <c r="C451" t="s">
        <v>38</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50</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50</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36</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50</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36</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50</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50</v>
      </c>
      <c r="C460" t="s">
        <v>36</v>
      </c>
      <c r="D460" s="3">
        <v>120000</v>
      </c>
      <c r="E460">
        <v>0</v>
      </c>
      <c r="F460" t="s">
        <v>29</v>
      </c>
      <c r="G460" t="s">
        <v>21</v>
      </c>
      <c r="H460" t="s">
        <v>15</v>
      </c>
      <c r="I460">
        <v>4</v>
      </c>
      <c r="J460" t="s">
        <v>45</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45</v>
      </c>
      <c r="K461" t="s">
        <v>24</v>
      </c>
      <c r="L461">
        <v>33</v>
      </c>
      <c r="M461" t="str">
        <f t="shared" si="7"/>
        <v>Middle Age</v>
      </c>
      <c r="N461" t="s">
        <v>18</v>
      </c>
    </row>
    <row r="462" spans="1:14" x14ac:dyDescent="0.3">
      <c r="A462">
        <v>13662</v>
      </c>
      <c r="B462" t="s">
        <v>37</v>
      </c>
      <c r="C462" t="s">
        <v>36</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50</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50</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36</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50</v>
      </c>
      <c r="C467" t="s">
        <v>36</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36</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50</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50</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36</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36</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50</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50</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50</v>
      </c>
      <c r="C477" t="s">
        <v>36</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50</v>
      </c>
      <c r="C479" t="s">
        <v>36</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50</v>
      </c>
      <c r="C480" t="s">
        <v>36</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50</v>
      </c>
      <c r="C481" t="s">
        <v>36</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50</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36</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50</v>
      </c>
      <c r="C485" t="s">
        <v>36</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36</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50</v>
      </c>
      <c r="C488" t="s">
        <v>38</v>
      </c>
      <c r="D488" s="3">
        <v>90000</v>
      </c>
      <c r="E488">
        <v>4</v>
      </c>
      <c r="F488" t="s">
        <v>29</v>
      </c>
      <c r="G488" t="s">
        <v>14</v>
      </c>
      <c r="H488" t="s">
        <v>15</v>
      </c>
      <c r="I488">
        <v>4</v>
      </c>
      <c r="J488" t="s">
        <v>45</v>
      </c>
      <c r="K488" t="s">
        <v>17</v>
      </c>
      <c r="L488">
        <v>58</v>
      </c>
      <c r="M488" t="str">
        <f t="shared" si="7"/>
        <v>Old</v>
      </c>
      <c r="N488" t="s">
        <v>18</v>
      </c>
    </row>
    <row r="489" spans="1:14" x14ac:dyDescent="0.3">
      <c r="A489">
        <v>12821</v>
      </c>
      <c r="B489" t="s">
        <v>50</v>
      </c>
      <c r="C489" t="s">
        <v>36</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50</v>
      </c>
      <c r="C491" t="s">
        <v>36</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50</v>
      </c>
      <c r="C492" t="s">
        <v>36</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50</v>
      </c>
      <c r="C493" t="s">
        <v>36</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36</v>
      </c>
      <c r="D495" s="3">
        <v>70000</v>
      </c>
      <c r="E495">
        <v>5</v>
      </c>
      <c r="F495" t="s">
        <v>13</v>
      </c>
      <c r="G495" t="s">
        <v>28</v>
      </c>
      <c r="H495" t="s">
        <v>15</v>
      </c>
      <c r="I495">
        <v>3</v>
      </c>
      <c r="J495" t="s">
        <v>45</v>
      </c>
      <c r="K495" t="s">
        <v>32</v>
      </c>
      <c r="L495">
        <v>60</v>
      </c>
      <c r="M495" t="str">
        <f t="shared" si="7"/>
        <v>Old</v>
      </c>
      <c r="N495" t="s">
        <v>15</v>
      </c>
    </row>
    <row r="496" spans="1:14" x14ac:dyDescent="0.3">
      <c r="A496">
        <v>27650</v>
      </c>
      <c r="B496" t="s">
        <v>50</v>
      </c>
      <c r="C496" t="s">
        <v>36</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50</v>
      </c>
      <c r="C497" t="s">
        <v>36</v>
      </c>
      <c r="D497" s="3">
        <v>60000</v>
      </c>
      <c r="E497">
        <v>2</v>
      </c>
      <c r="F497" t="s">
        <v>19</v>
      </c>
      <c r="G497" t="s">
        <v>21</v>
      </c>
      <c r="H497" t="s">
        <v>15</v>
      </c>
      <c r="I497">
        <v>2</v>
      </c>
      <c r="J497" t="s">
        <v>45</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50</v>
      </c>
      <c r="C500" t="s">
        <v>36</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50</v>
      </c>
      <c r="C502" t="s">
        <v>36</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50</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50</v>
      </c>
      <c r="C504" t="s">
        <v>36</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50</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50</v>
      </c>
      <c r="C506" t="s">
        <v>36</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50</v>
      </c>
      <c r="C507" t="s">
        <v>36</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50</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50</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50</v>
      </c>
      <c r="C510" t="s">
        <v>36</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50</v>
      </c>
      <c r="C511" t="s">
        <v>36</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36</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36</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50</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45</v>
      </c>
      <c r="K515" t="s">
        <v>32</v>
      </c>
      <c r="L515">
        <v>61</v>
      </c>
      <c r="M515" t="str">
        <f t="shared" ref="M515:M578" si="8">IF(L515&gt;55,"Old",IF(L515&gt;=31,"Middle Age",IF(L515&lt;31,"Adolescent","Invalid")))</f>
        <v>Old</v>
      </c>
      <c r="N515" t="s">
        <v>15</v>
      </c>
    </row>
    <row r="516" spans="1:14" x14ac:dyDescent="0.3">
      <c r="A516">
        <v>19399</v>
      </c>
      <c r="B516" t="s">
        <v>37</v>
      </c>
      <c r="C516" t="s">
        <v>36</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50</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50</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36</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50</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50</v>
      </c>
      <c r="C521" t="s">
        <v>36</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36</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36</v>
      </c>
      <c r="D523" s="3">
        <v>40000</v>
      </c>
      <c r="E523">
        <v>4</v>
      </c>
      <c r="F523" t="s">
        <v>27</v>
      </c>
      <c r="G523" t="s">
        <v>21</v>
      </c>
      <c r="H523" t="s">
        <v>15</v>
      </c>
      <c r="I523">
        <v>2</v>
      </c>
      <c r="J523" t="s">
        <v>45</v>
      </c>
      <c r="K523" t="s">
        <v>32</v>
      </c>
      <c r="L523">
        <v>62</v>
      </c>
      <c r="M523" t="str">
        <f t="shared" si="8"/>
        <v>Old</v>
      </c>
      <c r="N523" t="s">
        <v>15</v>
      </c>
    </row>
    <row r="524" spans="1:14" x14ac:dyDescent="0.3">
      <c r="A524">
        <v>19413</v>
      </c>
      <c r="B524" t="s">
        <v>37</v>
      </c>
      <c r="C524" t="s">
        <v>36</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50</v>
      </c>
      <c r="C525" t="s">
        <v>36</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36</v>
      </c>
      <c r="D527" s="3">
        <v>60000</v>
      </c>
      <c r="E527">
        <v>5</v>
      </c>
      <c r="F527" t="s">
        <v>13</v>
      </c>
      <c r="G527" t="s">
        <v>28</v>
      </c>
      <c r="H527" t="s">
        <v>15</v>
      </c>
      <c r="I527">
        <v>3</v>
      </c>
      <c r="J527" t="s">
        <v>45</v>
      </c>
      <c r="K527" t="s">
        <v>32</v>
      </c>
      <c r="L527">
        <v>59</v>
      </c>
      <c r="M527" t="str">
        <f t="shared" si="8"/>
        <v>Old</v>
      </c>
      <c r="N527" t="s">
        <v>15</v>
      </c>
    </row>
    <row r="528" spans="1:14" x14ac:dyDescent="0.3">
      <c r="A528">
        <v>15382</v>
      </c>
      <c r="B528" t="s">
        <v>50</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50</v>
      </c>
      <c r="C529" t="s">
        <v>36</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50</v>
      </c>
      <c r="C531" t="s">
        <v>36</v>
      </c>
      <c r="D531" s="3">
        <v>60000</v>
      </c>
      <c r="E531">
        <v>2</v>
      </c>
      <c r="F531" t="s">
        <v>19</v>
      </c>
      <c r="G531" t="s">
        <v>21</v>
      </c>
      <c r="H531" t="s">
        <v>15</v>
      </c>
      <c r="I531">
        <v>1</v>
      </c>
      <c r="J531" t="s">
        <v>45</v>
      </c>
      <c r="K531" t="s">
        <v>32</v>
      </c>
      <c r="L531">
        <v>57</v>
      </c>
      <c r="M531" t="str">
        <f t="shared" si="8"/>
        <v>Old</v>
      </c>
      <c r="N531" t="s">
        <v>15</v>
      </c>
    </row>
    <row r="532" spans="1:14" x14ac:dyDescent="0.3">
      <c r="A532">
        <v>25909</v>
      </c>
      <c r="B532" t="s">
        <v>50</v>
      </c>
      <c r="C532" t="s">
        <v>36</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36</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50</v>
      </c>
      <c r="C535" t="s">
        <v>36</v>
      </c>
      <c r="D535" s="3">
        <v>60000</v>
      </c>
      <c r="E535">
        <v>3</v>
      </c>
      <c r="F535" t="s">
        <v>13</v>
      </c>
      <c r="G535" t="s">
        <v>28</v>
      </c>
      <c r="H535" t="s">
        <v>15</v>
      </c>
      <c r="I535">
        <v>2</v>
      </c>
      <c r="J535" t="s">
        <v>45</v>
      </c>
      <c r="K535" t="s">
        <v>32</v>
      </c>
      <c r="L535">
        <v>66</v>
      </c>
      <c r="M535" t="str">
        <f t="shared" si="8"/>
        <v>Old</v>
      </c>
      <c r="N535" t="s">
        <v>18</v>
      </c>
    </row>
    <row r="536" spans="1:14" x14ac:dyDescent="0.3">
      <c r="A536">
        <v>24637</v>
      </c>
      <c r="B536" t="s">
        <v>50</v>
      </c>
      <c r="C536" t="s">
        <v>36</v>
      </c>
      <c r="D536" s="3">
        <v>40000</v>
      </c>
      <c r="E536">
        <v>4</v>
      </c>
      <c r="F536" t="s">
        <v>27</v>
      </c>
      <c r="G536" t="s">
        <v>21</v>
      </c>
      <c r="H536" t="s">
        <v>15</v>
      </c>
      <c r="I536">
        <v>2</v>
      </c>
      <c r="J536" t="s">
        <v>45</v>
      </c>
      <c r="K536" t="s">
        <v>32</v>
      </c>
      <c r="L536">
        <v>64</v>
      </c>
      <c r="M536" t="str">
        <f t="shared" si="8"/>
        <v>Old</v>
      </c>
      <c r="N536" t="s">
        <v>18</v>
      </c>
    </row>
    <row r="537" spans="1:14" x14ac:dyDescent="0.3">
      <c r="A537">
        <v>23893</v>
      </c>
      <c r="B537" t="s">
        <v>50</v>
      </c>
      <c r="C537" t="s">
        <v>36</v>
      </c>
      <c r="D537" s="3">
        <v>50000</v>
      </c>
      <c r="E537">
        <v>3</v>
      </c>
      <c r="F537" t="s">
        <v>13</v>
      </c>
      <c r="G537" t="s">
        <v>14</v>
      </c>
      <c r="H537" t="s">
        <v>15</v>
      </c>
      <c r="I537">
        <v>3</v>
      </c>
      <c r="J537" t="s">
        <v>45</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50</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50</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50</v>
      </c>
      <c r="C543" t="s">
        <v>36</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50</v>
      </c>
      <c r="C544" t="s">
        <v>36</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50</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36</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36</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50</v>
      </c>
      <c r="C548" t="s">
        <v>36</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50</v>
      </c>
      <c r="C549" t="s">
        <v>36</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50</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50</v>
      </c>
      <c r="C553" t="s">
        <v>38</v>
      </c>
      <c r="D553" s="3">
        <v>50000</v>
      </c>
      <c r="E553">
        <v>4</v>
      </c>
      <c r="F553" t="s">
        <v>13</v>
      </c>
      <c r="G553" t="s">
        <v>28</v>
      </c>
      <c r="H553" t="s">
        <v>15</v>
      </c>
      <c r="I553">
        <v>2</v>
      </c>
      <c r="J553" t="s">
        <v>45</v>
      </c>
      <c r="K553" t="s">
        <v>32</v>
      </c>
      <c r="L553">
        <v>63</v>
      </c>
      <c r="M553" t="str">
        <f t="shared" si="8"/>
        <v>Old</v>
      </c>
      <c r="N553" t="s">
        <v>18</v>
      </c>
    </row>
    <row r="554" spans="1:14" x14ac:dyDescent="0.3">
      <c r="A554">
        <v>14417</v>
      </c>
      <c r="B554" t="s">
        <v>37</v>
      </c>
      <c r="C554" t="s">
        <v>36</v>
      </c>
      <c r="D554" s="3">
        <v>60000</v>
      </c>
      <c r="E554">
        <v>3</v>
      </c>
      <c r="F554" t="s">
        <v>27</v>
      </c>
      <c r="G554" t="s">
        <v>21</v>
      </c>
      <c r="H554" t="s">
        <v>15</v>
      </c>
      <c r="I554">
        <v>2</v>
      </c>
      <c r="J554" t="s">
        <v>45</v>
      </c>
      <c r="K554" t="s">
        <v>32</v>
      </c>
      <c r="L554">
        <v>54</v>
      </c>
      <c r="M554" t="str">
        <f t="shared" si="8"/>
        <v>Middle Age</v>
      </c>
      <c r="N554" t="s">
        <v>15</v>
      </c>
    </row>
    <row r="555" spans="1:14" x14ac:dyDescent="0.3">
      <c r="A555">
        <v>17533</v>
      </c>
      <c r="B555" t="s">
        <v>50</v>
      </c>
      <c r="C555" t="s">
        <v>36</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50</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36</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50</v>
      </c>
      <c r="C558" t="s">
        <v>36</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50</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50</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45</v>
      </c>
      <c r="K561" t="s">
        <v>32</v>
      </c>
      <c r="L561">
        <v>58</v>
      </c>
      <c r="M561" t="str">
        <f t="shared" si="8"/>
        <v>Old</v>
      </c>
      <c r="N561" t="s">
        <v>18</v>
      </c>
    </row>
    <row r="562" spans="1:14" x14ac:dyDescent="0.3">
      <c r="A562">
        <v>18577</v>
      </c>
      <c r="B562" t="s">
        <v>50</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50</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50</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36</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50</v>
      </c>
      <c r="C567" t="s">
        <v>36</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50</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50</v>
      </c>
      <c r="C569" t="s">
        <v>36</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50</v>
      </c>
      <c r="C570" t="s">
        <v>36</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36</v>
      </c>
      <c r="D571" s="3">
        <v>50000</v>
      </c>
      <c r="E571">
        <v>3</v>
      </c>
      <c r="F571" t="s">
        <v>31</v>
      </c>
      <c r="G571" t="s">
        <v>28</v>
      </c>
      <c r="H571" t="s">
        <v>15</v>
      </c>
      <c r="I571">
        <v>2</v>
      </c>
      <c r="J571" t="s">
        <v>45</v>
      </c>
      <c r="K571" t="s">
        <v>32</v>
      </c>
      <c r="L571">
        <v>69</v>
      </c>
      <c r="M571" t="str">
        <f t="shared" si="8"/>
        <v>Old</v>
      </c>
      <c r="N571" t="s">
        <v>18</v>
      </c>
    </row>
    <row r="572" spans="1:14" x14ac:dyDescent="0.3">
      <c r="A572">
        <v>20370</v>
      </c>
      <c r="B572" t="s">
        <v>50</v>
      </c>
      <c r="C572" t="s">
        <v>36</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50</v>
      </c>
      <c r="C573" t="s">
        <v>36</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36</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50</v>
      </c>
      <c r="C575" t="s">
        <v>36</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36</v>
      </c>
      <c r="D577" s="3">
        <v>60000</v>
      </c>
      <c r="E577">
        <v>2</v>
      </c>
      <c r="F577" t="s">
        <v>19</v>
      </c>
      <c r="G577" t="s">
        <v>21</v>
      </c>
      <c r="H577" t="s">
        <v>15</v>
      </c>
      <c r="I577">
        <v>1</v>
      </c>
      <c r="J577" t="s">
        <v>45</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50</v>
      </c>
      <c r="C579" t="s">
        <v>36</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
      <c r="A580">
        <v>15313</v>
      </c>
      <c r="B580" t="s">
        <v>50</v>
      </c>
      <c r="C580" t="s">
        <v>36</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50</v>
      </c>
      <c r="C582" t="s">
        <v>38</v>
      </c>
      <c r="D582" s="3">
        <v>60000</v>
      </c>
      <c r="E582">
        <v>3</v>
      </c>
      <c r="F582" t="s">
        <v>31</v>
      </c>
      <c r="G582" t="s">
        <v>28</v>
      </c>
      <c r="H582" t="s">
        <v>15</v>
      </c>
      <c r="I582">
        <v>2</v>
      </c>
      <c r="J582" t="s">
        <v>45</v>
      </c>
      <c r="K582" t="s">
        <v>32</v>
      </c>
      <c r="L582">
        <v>69</v>
      </c>
      <c r="M582" t="str">
        <f t="shared" si="9"/>
        <v>Old</v>
      </c>
      <c r="N582" t="s">
        <v>18</v>
      </c>
    </row>
    <row r="583" spans="1:14" x14ac:dyDescent="0.3">
      <c r="A583">
        <v>23089</v>
      </c>
      <c r="B583" t="s">
        <v>50</v>
      </c>
      <c r="C583" t="s">
        <v>36</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50</v>
      </c>
      <c r="C584" t="s">
        <v>36</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50</v>
      </c>
      <c r="C585" t="s">
        <v>36</v>
      </c>
      <c r="D585" s="3">
        <v>60000</v>
      </c>
      <c r="E585">
        <v>3</v>
      </c>
      <c r="F585" t="s">
        <v>13</v>
      </c>
      <c r="G585" t="s">
        <v>28</v>
      </c>
      <c r="H585" t="s">
        <v>15</v>
      </c>
      <c r="I585">
        <v>2</v>
      </c>
      <c r="J585" t="s">
        <v>45</v>
      </c>
      <c r="K585" t="s">
        <v>32</v>
      </c>
      <c r="L585">
        <v>66</v>
      </c>
      <c r="M585" t="str">
        <f t="shared" si="9"/>
        <v>Old</v>
      </c>
      <c r="N585" t="s">
        <v>18</v>
      </c>
    </row>
    <row r="586" spans="1:14" x14ac:dyDescent="0.3">
      <c r="A586">
        <v>28667</v>
      </c>
      <c r="B586" t="s">
        <v>37</v>
      </c>
      <c r="C586" t="s">
        <v>36</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36</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50</v>
      </c>
      <c r="C588" t="s">
        <v>36</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50</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50</v>
      </c>
      <c r="C590" t="s">
        <v>38</v>
      </c>
      <c r="D590" s="3">
        <v>90000</v>
      </c>
      <c r="E590">
        <v>2</v>
      </c>
      <c r="F590" t="s">
        <v>27</v>
      </c>
      <c r="G590" t="s">
        <v>21</v>
      </c>
      <c r="H590" t="s">
        <v>15</v>
      </c>
      <c r="I590">
        <v>1</v>
      </c>
      <c r="J590" t="s">
        <v>45</v>
      </c>
      <c r="K590" t="s">
        <v>32</v>
      </c>
      <c r="L590">
        <v>51</v>
      </c>
      <c r="M590" t="str">
        <f t="shared" si="9"/>
        <v>Middle Age</v>
      </c>
      <c r="N590" t="s">
        <v>15</v>
      </c>
    </row>
    <row r="591" spans="1:14" x14ac:dyDescent="0.3">
      <c r="A591">
        <v>12100</v>
      </c>
      <c r="B591" t="s">
        <v>37</v>
      </c>
      <c r="C591" t="s">
        <v>36</v>
      </c>
      <c r="D591" s="3">
        <v>60000</v>
      </c>
      <c r="E591">
        <v>2</v>
      </c>
      <c r="F591" t="s">
        <v>13</v>
      </c>
      <c r="G591" t="s">
        <v>28</v>
      </c>
      <c r="H591" t="s">
        <v>15</v>
      </c>
      <c r="I591">
        <v>0</v>
      </c>
      <c r="J591" t="s">
        <v>45</v>
      </c>
      <c r="K591" t="s">
        <v>32</v>
      </c>
      <c r="L591">
        <v>57</v>
      </c>
      <c r="M591" t="str">
        <f t="shared" si="9"/>
        <v>Old</v>
      </c>
      <c r="N591" t="s">
        <v>18</v>
      </c>
    </row>
    <row r="592" spans="1:14" x14ac:dyDescent="0.3">
      <c r="A592">
        <v>23158</v>
      </c>
      <c r="B592" t="s">
        <v>50</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50</v>
      </c>
      <c r="C593" t="s">
        <v>36</v>
      </c>
      <c r="D593" s="3">
        <v>40000</v>
      </c>
      <c r="E593">
        <v>4</v>
      </c>
      <c r="F593" t="s">
        <v>27</v>
      </c>
      <c r="G593" t="s">
        <v>21</v>
      </c>
      <c r="H593" t="s">
        <v>18</v>
      </c>
      <c r="I593">
        <v>2</v>
      </c>
      <c r="J593" t="s">
        <v>45</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50</v>
      </c>
      <c r="C596" t="s">
        <v>36</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50</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36</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50</v>
      </c>
      <c r="C600" t="s">
        <v>36</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50</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50</v>
      </c>
      <c r="C602" t="s">
        <v>36</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36</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36</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50</v>
      </c>
      <c r="C605" t="s">
        <v>36</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50</v>
      </c>
      <c r="C606" t="s">
        <v>36</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36</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36</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45</v>
      </c>
      <c r="K609" t="s">
        <v>32</v>
      </c>
      <c r="L609">
        <v>46</v>
      </c>
      <c r="M609" t="str">
        <f t="shared" si="9"/>
        <v>Middle Age</v>
      </c>
      <c r="N609" t="s">
        <v>15</v>
      </c>
    </row>
    <row r="610" spans="1:14" x14ac:dyDescent="0.3">
      <c r="A610">
        <v>16890</v>
      </c>
      <c r="B610" t="s">
        <v>50</v>
      </c>
      <c r="C610" t="s">
        <v>36</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50</v>
      </c>
      <c r="C611" t="s">
        <v>36</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50</v>
      </c>
      <c r="C612" t="s">
        <v>36</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50</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36</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50</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50</v>
      </c>
      <c r="C619" t="s">
        <v>36</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50</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50</v>
      </c>
      <c r="C623" t="s">
        <v>36</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50</v>
      </c>
      <c r="C624" t="s">
        <v>36</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50</v>
      </c>
      <c r="C625" t="s">
        <v>38</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50</v>
      </c>
      <c r="C627" t="s">
        <v>36</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50</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50</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36</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50</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50</v>
      </c>
      <c r="C632" t="s">
        <v>36</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36</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50</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50</v>
      </c>
      <c r="C636" t="s">
        <v>36</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36</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36</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50</v>
      </c>
      <c r="C641" t="s">
        <v>36</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50</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50</v>
      </c>
      <c r="C643" t="s">
        <v>36</v>
      </c>
      <c r="D643" s="3">
        <v>50000</v>
      </c>
      <c r="E643">
        <v>4</v>
      </c>
      <c r="F643" t="s">
        <v>13</v>
      </c>
      <c r="G643" t="s">
        <v>28</v>
      </c>
      <c r="H643" t="s">
        <v>15</v>
      </c>
      <c r="I643">
        <v>2</v>
      </c>
      <c r="J643" t="s">
        <v>45</v>
      </c>
      <c r="K643" t="s">
        <v>32</v>
      </c>
      <c r="L643">
        <v>64</v>
      </c>
      <c r="M643" t="str">
        <f t="shared" ref="M643:M706" si="10">IF(L643&gt;55,"Old",IF(L643&gt;=31,"Middle Age",IF(L643&lt;31,"Adolescent","Invalid")))</f>
        <v>Old</v>
      </c>
      <c r="N643" t="s">
        <v>18</v>
      </c>
    </row>
    <row r="644" spans="1:14" x14ac:dyDescent="0.3">
      <c r="A644">
        <v>21741</v>
      </c>
      <c r="B644" t="s">
        <v>50</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50</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50</v>
      </c>
      <c r="C646" t="s">
        <v>38</v>
      </c>
      <c r="D646" s="3">
        <v>60000</v>
      </c>
      <c r="E646">
        <v>5</v>
      </c>
      <c r="F646" t="s">
        <v>13</v>
      </c>
      <c r="G646" t="s">
        <v>14</v>
      </c>
      <c r="H646" t="s">
        <v>15</v>
      </c>
      <c r="I646">
        <v>3</v>
      </c>
      <c r="J646" t="s">
        <v>45</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36</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45</v>
      </c>
      <c r="K652" t="s">
        <v>32</v>
      </c>
      <c r="L652">
        <v>67</v>
      </c>
      <c r="M652" t="str">
        <f t="shared" si="10"/>
        <v>Old</v>
      </c>
      <c r="N652" t="s">
        <v>15</v>
      </c>
    </row>
    <row r="653" spans="1:14" x14ac:dyDescent="0.3">
      <c r="A653">
        <v>14284</v>
      </c>
      <c r="B653" t="s">
        <v>37</v>
      </c>
      <c r="C653" t="s">
        <v>36</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50</v>
      </c>
      <c r="C654" t="s">
        <v>36</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36</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36</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50</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50</v>
      </c>
      <c r="C658" t="s">
        <v>36</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50</v>
      </c>
      <c r="C659" t="s">
        <v>36</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36</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45</v>
      </c>
      <c r="K661" t="s">
        <v>32</v>
      </c>
      <c r="L661">
        <v>63</v>
      </c>
      <c r="M661" t="str">
        <f t="shared" si="10"/>
        <v>Old</v>
      </c>
      <c r="N661" t="s">
        <v>18</v>
      </c>
    </row>
    <row r="662" spans="1:14" x14ac:dyDescent="0.3">
      <c r="A662">
        <v>21599</v>
      </c>
      <c r="B662" t="s">
        <v>50</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36</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50</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50</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50</v>
      </c>
      <c r="C667" t="s">
        <v>36</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50</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50</v>
      </c>
      <c r="C669" t="s">
        <v>38</v>
      </c>
      <c r="D669" s="3">
        <v>40000</v>
      </c>
      <c r="E669">
        <v>5</v>
      </c>
      <c r="F669" t="s">
        <v>27</v>
      </c>
      <c r="G669" t="s">
        <v>21</v>
      </c>
      <c r="H669" t="s">
        <v>18</v>
      </c>
      <c r="I669">
        <v>2</v>
      </c>
      <c r="J669" t="s">
        <v>45</v>
      </c>
      <c r="K669" t="s">
        <v>32</v>
      </c>
      <c r="L669">
        <v>61</v>
      </c>
      <c r="M669" t="str">
        <f t="shared" si="10"/>
        <v>Old</v>
      </c>
      <c r="N669" t="s">
        <v>18</v>
      </c>
    </row>
    <row r="670" spans="1:14" x14ac:dyDescent="0.3">
      <c r="A670">
        <v>14592</v>
      </c>
      <c r="B670" t="s">
        <v>50</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50</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50</v>
      </c>
      <c r="C672" t="s">
        <v>36</v>
      </c>
      <c r="D672" s="3">
        <v>70000</v>
      </c>
      <c r="E672">
        <v>2</v>
      </c>
      <c r="F672" t="s">
        <v>19</v>
      </c>
      <c r="G672" t="s">
        <v>21</v>
      </c>
      <c r="H672" t="s">
        <v>15</v>
      </c>
      <c r="I672">
        <v>1</v>
      </c>
      <c r="J672" t="s">
        <v>45</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50</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50</v>
      </c>
      <c r="C677" t="s">
        <v>36</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50</v>
      </c>
      <c r="C678" t="s">
        <v>36</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50</v>
      </c>
      <c r="C679" t="s">
        <v>36</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50</v>
      </c>
      <c r="C680" t="s">
        <v>36</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50</v>
      </c>
      <c r="C681" t="s">
        <v>36</v>
      </c>
      <c r="D681" s="3">
        <v>60000</v>
      </c>
      <c r="E681">
        <v>4</v>
      </c>
      <c r="F681" t="s">
        <v>13</v>
      </c>
      <c r="G681" t="s">
        <v>28</v>
      </c>
      <c r="H681" t="s">
        <v>15</v>
      </c>
      <c r="I681">
        <v>2</v>
      </c>
      <c r="J681" t="s">
        <v>45</v>
      </c>
      <c r="K681" t="s">
        <v>32</v>
      </c>
      <c r="L681">
        <v>60</v>
      </c>
      <c r="M681" t="str">
        <f t="shared" si="10"/>
        <v>Old</v>
      </c>
      <c r="N681" t="s">
        <v>18</v>
      </c>
    </row>
    <row r="682" spans="1:14" x14ac:dyDescent="0.3">
      <c r="A682">
        <v>11165</v>
      </c>
      <c r="B682" t="s">
        <v>50</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50</v>
      </c>
      <c r="C684" t="s">
        <v>36</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50</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50</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36</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36</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50</v>
      </c>
      <c r="C691" t="s">
        <v>36</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50</v>
      </c>
      <c r="C693" t="s">
        <v>36</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50</v>
      </c>
      <c r="C694" t="s">
        <v>36</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50</v>
      </c>
      <c r="C697" t="s">
        <v>36</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36</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50</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50</v>
      </c>
      <c r="C700" t="s">
        <v>36</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36</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50</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36</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50</v>
      </c>
      <c r="C704" t="s">
        <v>36</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50</v>
      </c>
      <c r="C707" t="s">
        <v>38</v>
      </c>
      <c r="D707" s="3">
        <v>70000</v>
      </c>
      <c r="E707">
        <v>4</v>
      </c>
      <c r="F707" t="s">
        <v>13</v>
      </c>
      <c r="G707" t="s">
        <v>28</v>
      </c>
      <c r="H707" t="s">
        <v>15</v>
      </c>
      <c r="I707">
        <v>1</v>
      </c>
      <c r="J707" t="s">
        <v>45</v>
      </c>
      <c r="K707" t="s">
        <v>32</v>
      </c>
      <c r="L707">
        <v>59</v>
      </c>
      <c r="M707" t="str">
        <f t="shared" ref="M707:M770" si="11">IF(L707&gt;55,"Old",IF(L707&gt;=31,"Middle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50</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50</v>
      </c>
      <c r="C710" t="s">
        <v>36</v>
      </c>
      <c r="D710" s="3">
        <v>70000</v>
      </c>
      <c r="E710">
        <v>5</v>
      </c>
      <c r="F710" t="s">
        <v>13</v>
      </c>
      <c r="G710" t="s">
        <v>28</v>
      </c>
      <c r="H710" t="s">
        <v>15</v>
      </c>
      <c r="I710">
        <v>4</v>
      </c>
      <c r="J710" t="s">
        <v>45</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45</v>
      </c>
      <c r="K711" t="s">
        <v>32</v>
      </c>
      <c r="L711">
        <v>59</v>
      </c>
      <c r="M711" t="str">
        <f t="shared" si="11"/>
        <v>Old</v>
      </c>
      <c r="N711" t="s">
        <v>18</v>
      </c>
    </row>
    <row r="712" spans="1:14" x14ac:dyDescent="0.3">
      <c r="A712">
        <v>23358</v>
      </c>
      <c r="B712" t="s">
        <v>50</v>
      </c>
      <c r="C712" t="s">
        <v>36</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50</v>
      </c>
      <c r="C713" t="s">
        <v>38</v>
      </c>
      <c r="D713" s="3">
        <v>70000</v>
      </c>
      <c r="E713">
        <v>2</v>
      </c>
      <c r="F713" t="s">
        <v>19</v>
      </c>
      <c r="G713" t="s">
        <v>21</v>
      </c>
      <c r="H713" t="s">
        <v>15</v>
      </c>
      <c r="I713">
        <v>1</v>
      </c>
      <c r="J713" t="s">
        <v>45</v>
      </c>
      <c r="K713" t="s">
        <v>32</v>
      </c>
      <c r="L713">
        <v>58</v>
      </c>
      <c r="M713" t="str">
        <f t="shared" si="11"/>
        <v>Old</v>
      </c>
      <c r="N713" t="s">
        <v>18</v>
      </c>
    </row>
    <row r="714" spans="1:14" x14ac:dyDescent="0.3">
      <c r="A714">
        <v>28026</v>
      </c>
      <c r="B714" t="s">
        <v>50</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50</v>
      </c>
      <c r="C716" t="s">
        <v>36</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50</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36</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50</v>
      </c>
      <c r="C720" t="s">
        <v>36</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50</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36</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50</v>
      </c>
      <c r="C726" t="s">
        <v>36</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50</v>
      </c>
      <c r="C727" t="s">
        <v>36</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50</v>
      </c>
      <c r="C728" t="s">
        <v>36</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50</v>
      </c>
      <c r="C729" t="s">
        <v>36</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50</v>
      </c>
      <c r="C730" t="s">
        <v>36</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50</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50</v>
      </c>
      <c r="C733" t="s">
        <v>36</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36</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50</v>
      </c>
      <c r="C738" t="s">
        <v>36</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50</v>
      </c>
      <c r="C739" t="s">
        <v>36</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50</v>
      </c>
      <c r="C741" t="s">
        <v>38</v>
      </c>
      <c r="D741" s="3">
        <v>60000</v>
      </c>
      <c r="E741">
        <v>2</v>
      </c>
      <c r="F741" t="s">
        <v>19</v>
      </c>
      <c r="G741" t="s">
        <v>21</v>
      </c>
      <c r="H741" t="s">
        <v>15</v>
      </c>
      <c r="I741">
        <v>1</v>
      </c>
      <c r="J741" t="s">
        <v>45</v>
      </c>
      <c r="K741" t="s">
        <v>32</v>
      </c>
      <c r="L741">
        <v>55</v>
      </c>
      <c r="M741" t="str">
        <f t="shared" si="11"/>
        <v>Middle Age</v>
      </c>
      <c r="N741" t="s">
        <v>18</v>
      </c>
    </row>
    <row r="742" spans="1:14" x14ac:dyDescent="0.3">
      <c r="A742">
        <v>17657</v>
      </c>
      <c r="B742" t="s">
        <v>50</v>
      </c>
      <c r="C742" t="s">
        <v>36</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50</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36</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50</v>
      </c>
      <c r="C745" t="s">
        <v>36</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50</v>
      </c>
      <c r="C746" t="s">
        <v>38</v>
      </c>
      <c r="D746" s="3">
        <v>70000</v>
      </c>
      <c r="E746">
        <v>4</v>
      </c>
      <c r="F746" t="s">
        <v>19</v>
      </c>
      <c r="G746" t="s">
        <v>21</v>
      </c>
      <c r="H746" t="s">
        <v>15</v>
      </c>
      <c r="I746">
        <v>1</v>
      </c>
      <c r="J746" t="s">
        <v>45</v>
      </c>
      <c r="K746" t="s">
        <v>32</v>
      </c>
      <c r="L746">
        <v>56</v>
      </c>
      <c r="M746" t="str">
        <f t="shared" si="11"/>
        <v>Old</v>
      </c>
      <c r="N746" t="s">
        <v>18</v>
      </c>
    </row>
    <row r="747" spans="1:14" x14ac:dyDescent="0.3">
      <c r="A747">
        <v>12452</v>
      </c>
      <c r="B747" t="s">
        <v>50</v>
      </c>
      <c r="C747" t="s">
        <v>36</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50</v>
      </c>
      <c r="C748" t="s">
        <v>38</v>
      </c>
      <c r="D748" s="3">
        <v>60000</v>
      </c>
      <c r="E748">
        <v>2</v>
      </c>
      <c r="F748" t="s">
        <v>13</v>
      </c>
      <c r="G748" t="s">
        <v>28</v>
      </c>
      <c r="H748" t="s">
        <v>15</v>
      </c>
      <c r="I748">
        <v>0</v>
      </c>
      <c r="J748" t="s">
        <v>45</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50</v>
      </c>
      <c r="C750" t="s">
        <v>36</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50</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50</v>
      </c>
      <c r="C752" t="s">
        <v>36</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50</v>
      </c>
      <c r="C753" t="s">
        <v>36</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50</v>
      </c>
      <c r="C754" t="s">
        <v>36</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50</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50</v>
      </c>
      <c r="C757" t="s">
        <v>36</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50</v>
      </c>
      <c r="C758" t="s">
        <v>36</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36</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36</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50</v>
      </c>
      <c r="C763" t="s">
        <v>38</v>
      </c>
      <c r="D763" s="3">
        <v>60000</v>
      </c>
      <c r="E763">
        <v>5</v>
      </c>
      <c r="F763" t="s">
        <v>13</v>
      </c>
      <c r="G763" t="s">
        <v>28</v>
      </c>
      <c r="H763" t="s">
        <v>15</v>
      </c>
      <c r="I763">
        <v>3</v>
      </c>
      <c r="J763" t="s">
        <v>45</v>
      </c>
      <c r="K763" t="s">
        <v>32</v>
      </c>
      <c r="L763">
        <v>59</v>
      </c>
      <c r="M763" t="str">
        <f t="shared" si="11"/>
        <v>Old</v>
      </c>
      <c r="N763" t="s">
        <v>18</v>
      </c>
    </row>
    <row r="764" spans="1:14" x14ac:dyDescent="0.3">
      <c r="A764">
        <v>20657</v>
      </c>
      <c r="B764" t="s">
        <v>37</v>
      </c>
      <c r="C764" t="s">
        <v>36</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50</v>
      </c>
      <c r="C765" t="s">
        <v>36</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50</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50</v>
      </c>
      <c r="C768" t="s">
        <v>36</v>
      </c>
      <c r="D768" s="3">
        <v>50000</v>
      </c>
      <c r="E768">
        <v>4</v>
      </c>
      <c r="F768" t="s">
        <v>13</v>
      </c>
      <c r="G768" t="s">
        <v>14</v>
      </c>
      <c r="H768" t="s">
        <v>15</v>
      </c>
      <c r="I768">
        <v>3</v>
      </c>
      <c r="J768" t="s">
        <v>45</v>
      </c>
      <c r="K768" t="s">
        <v>32</v>
      </c>
      <c r="L768">
        <v>42</v>
      </c>
      <c r="M768" t="str">
        <f t="shared" si="11"/>
        <v>Middle Age</v>
      </c>
      <c r="N768" t="s">
        <v>18</v>
      </c>
    </row>
    <row r="769" spans="1:14" x14ac:dyDescent="0.3">
      <c r="A769">
        <v>24979</v>
      </c>
      <c r="B769" t="s">
        <v>50</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50</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50</v>
      </c>
      <c r="C771" t="s">
        <v>38</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3">
      <c r="A772">
        <v>17699</v>
      </c>
      <c r="B772" t="s">
        <v>50</v>
      </c>
      <c r="C772" t="s">
        <v>36</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50</v>
      </c>
      <c r="C773" t="s">
        <v>36</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36</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50</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50</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50</v>
      </c>
      <c r="C777" t="s">
        <v>36</v>
      </c>
      <c r="D777" s="3">
        <v>70000</v>
      </c>
      <c r="E777">
        <v>2</v>
      </c>
      <c r="F777" t="s">
        <v>29</v>
      </c>
      <c r="G777" t="s">
        <v>14</v>
      </c>
      <c r="H777" t="s">
        <v>15</v>
      </c>
      <c r="I777">
        <v>2</v>
      </c>
      <c r="J777" t="s">
        <v>45</v>
      </c>
      <c r="K777" t="s">
        <v>32</v>
      </c>
      <c r="L777">
        <v>54</v>
      </c>
      <c r="M777" t="str">
        <f t="shared" si="12"/>
        <v>Middle Age</v>
      </c>
      <c r="N777" t="s">
        <v>18</v>
      </c>
    </row>
    <row r="778" spans="1:14" x14ac:dyDescent="0.3">
      <c r="A778">
        <v>26490</v>
      </c>
      <c r="B778" t="s">
        <v>37</v>
      </c>
      <c r="C778" t="s">
        <v>36</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36</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50</v>
      </c>
      <c r="C780" t="s">
        <v>36</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50</v>
      </c>
      <c r="C781" t="s">
        <v>36</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50</v>
      </c>
      <c r="C782" t="s">
        <v>38</v>
      </c>
      <c r="D782" s="3">
        <v>60000</v>
      </c>
      <c r="E782">
        <v>2</v>
      </c>
      <c r="F782" t="s">
        <v>19</v>
      </c>
      <c r="G782" t="s">
        <v>21</v>
      </c>
      <c r="H782" t="s">
        <v>15</v>
      </c>
      <c r="I782">
        <v>1</v>
      </c>
      <c r="J782" t="s">
        <v>45</v>
      </c>
      <c r="K782" t="s">
        <v>32</v>
      </c>
      <c r="L782">
        <v>55</v>
      </c>
      <c r="M782" t="str">
        <f t="shared" si="12"/>
        <v>Middle Age</v>
      </c>
      <c r="N782" t="s">
        <v>18</v>
      </c>
    </row>
    <row r="783" spans="1:14" x14ac:dyDescent="0.3">
      <c r="A783">
        <v>19660</v>
      </c>
      <c r="B783" t="s">
        <v>50</v>
      </c>
      <c r="C783" t="s">
        <v>36</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36</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50</v>
      </c>
      <c r="C785" t="s">
        <v>36</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50</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50</v>
      </c>
      <c r="C791" t="s">
        <v>36</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50</v>
      </c>
      <c r="C793" t="s">
        <v>36</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36</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50</v>
      </c>
      <c r="C795" t="s">
        <v>36</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50</v>
      </c>
      <c r="C796" t="s">
        <v>36</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36</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50</v>
      </c>
      <c r="C798" t="s">
        <v>36</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36</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36</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50</v>
      </c>
      <c r="C803" t="s">
        <v>36</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50</v>
      </c>
      <c r="C804" t="s">
        <v>36</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50</v>
      </c>
      <c r="C805" t="s">
        <v>36</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50</v>
      </c>
      <c r="C806" t="s">
        <v>36</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50</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36</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50</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50</v>
      </c>
      <c r="C813" t="s">
        <v>36</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45</v>
      </c>
      <c r="K814" t="s">
        <v>32</v>
      </c>
      <c r="L814">
        <v>61</v>
      </c>
      <c r="M814" t="str">
        <f t="shared" si="12"/>
        <v>Old</v>
      </c>
      <c r="N814" t="s">
        <v>18</v>
      </c>
    </row>
    <row r="815" spans="1:14" x14ac:dyDescent="0.3">
      <c r="A815">
        <v>25899</v>
      </c>
      <c r="B815" t="s">
        <v>50</v>
      </c>
      <c r="C815" t="s">
        <v>38</v>
      </c>
      <c r="D815" s="3">
        <v>70000</v>
      </c>
      <c r="E815">
        <v>2</v>
      </c>
      <c r="F815" t="s">
        <v>27</v>
      </c>
      <c r="G815" t="s">
        <v>21</v>
      </c>
      <c r="H815" t="s">
        <v>15</v>
      </c>
      <c r="I815">
        <v>2</v>
      </c>
      <c r="J815" t="s">
        <v>45</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50</v>
      </c>
      <c r="C817" t="s">
        <v>36</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50</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50</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50</v>
      </c>
      <c r="C820" t="s">
        <v>36</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36</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50</v>
      </c>
      <c r="C823" t="s">
        <v>36</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50</v>
      </c>
      <c r="C824" t="s">
        <v>36</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36</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50</v>
      </c>
      <c r="C827" t="s">
        <v>36</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50</v>
      </c>
      <c r="C828" t="s">
        <v>36</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36</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50</v>
      </c>
      <c r="C832" t="s">
        <v>36</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50</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50</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50</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50</v>
      </c>
      <c r="C839" t="s">
        <v>36</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50</v>
      </c>
      <c r="C842" t="s">
        <v>36</v>
      </c>
      <c r="D842" s="3">
        <v>70000</v>
      </c>
      <c r="E842">
        <v>4</v>
      </c>
      <c r="F842" t="s">
        <v>19</v>
      </c>
      <c r="G842" t="s">
        <v>21</v>
      </c>
      <c r="H842" t="s">
        <v>15</v>
      </c>
      <c r="I842">
        <v>2</v>
      </c>
      <c r="J842" t="s">
        <v>45</v>
      </c>
      <c r="K842" t="s">
        <v>32</v>
      </c>
      <c r="L842">
        <v>53</v>
      </c>
      <c r="M842" t="str">
        <f t="shared" si="13"/>
        <v>Middle Age</v>
      </c>
      <c r="N842" t="s">
        <v>18</v>
      </c>
    </row>
    <row r="843" spans="1:14" x14ac:dyDescent="0.3">
      <c r="A843">
        <v>12056</v>
      </c>
      <c r="B843" t="s">
        <v>50</v>
      </c>
      <c r="C843" t="s">
        <v>36</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50</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36</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50</v>
      </c>
      <c r="C846" t="s">
        <v>38</v>
      </c>
      <c r="D846" s="3">
        <v>40000</v>
      </c>
      <c r="E846">
        <v>5</v>
      </c>
      <c r="F846" t="s">
        <v>27</v>
      </c>
      <c r="G846" t="s">
        <v>21</v>
      </c>
      <c r="H846" t="s">
        <v>15</v>
      </c>
      <c r="I846">
        <v>2</v>
      </c>
      <c r="J846" t="s">
        <v>45</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50</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36</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50</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50</v>
      </c>
      <c r="C853" t="s">
        <v>36</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36</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36</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50</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36</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50</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50</v>
      </c>
      <c r="C860" t="s">
        <v>36</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50</v>
      </c>
      <c r="C861" t="s">
        <v>36</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36</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50</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50</v>
      </c>
      <c r="C864" t="s">
        <v>36</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36</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36</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50</v>
      </c>
      <c r="C868" t="s">
        <v>36</v>
      </c>
      <c r="D868" s="3">
        <v>60000</v>
      </c>
      <c r="E868">
        <v>2</v>
      </c>
      <c r="F868" t="s">
        <v>27</v>
      </c>
      <c r="G868" t="s">
        <v>21</v>
      </c>
      <c r="H868" t="s">
        <v>15</v>
      </c>
      <c r="I868">
        <v>2</v>
      </c>
      <c r="J868" t="s">
        <v>45</v>
      </c>
      <c r="K868" t="s">
        <v>32</v>
      </c>
      <c r="L868">
        <v>55</v>
      </c>
      <c r="M868" t="str">
        <f t="shared" si="13"/>
        <v>Middle Age</v>
      </c>
      <c r="N868" t="s">
        <v>18</v>
      </c>
    </row>
    <row r="869" spans="1:14" x14ac:dyDescent="0.3">
      <c r="A869">
        <v>26693</v>
      </c>
      <c r="B869" t="s">
        <v>50</v>
      </c>
      <c r="C869" t="s">
        <v>36</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36</v>
      </c>
      <c r="D870" s="3">
        <v>30000</v>
      </c>
      <c r="E870">
        <v>5</v>
      </c>
      <c r="F870" t="s">
        <v>29</v>
      </c>
      <c r="G870" t="s">
        <v>14</v>
      </c>
      <c r="H870" t="s">
        <v>15</v>
      </c>
      <c r="I870">
        <v>3</v>
      </c>
      <c r="J870" t="s">
        <v>45</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50</v>
      </c>
      <c r="C872" t="s">
        <v>36</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50</v>
      </c>
      <c r="C873" t="s">
        <v>36</v>
      </c>
      <c r="D873" s="3">
        <v>60000</v>
      </c>
      <c r="E873">
        <v>2</v>
      </c>
      <c r="F873" t="s">
        <v>27</v>
      </c>
      <c r="G873" t="s">
        <v>21</v>
      </c>
      <c r="H873" t="s">
        <v>15</v>
      </c>
      <c r="I873">
        <v>2</v>
      </c>
      <c r="J873" t="s">
        <v>45</v>
      </c>
      <c r="K873" t="s">
        <v>32</v>
      </c>
      <c r="L873">
        <v>55</v>
      </c>
      <c r="M873" t="str">
        <f t="shared" si="13"/>
        <v>Middle Age</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50</v>
      </c>
      <c r="C875" t="s">
        <v>36</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50</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36</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50</v>
      </c>
      <c r="C879" t="s">
        <v>36</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50</v>
      </c>
      <c r="C880" t="s">
        <v>36</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50</v>
      </c>
      <c r="C881" t="s">
        <v>36</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50</v>
      </c>
      <c r="C882" t="s">
        <v>36</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50</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50</v>
      </c>
      <c r="C884" t="s">
        <v>36</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50</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50</v>
      </c>
      <c r="C886" t="s">
        <v>36</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50</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50</v>
      </c>
      <c r="C888" t="s">
        <v>36</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50</v>
      </c>
      <c r="C889" t="s">
        <v>36</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50</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50</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36</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50</v>
      </c>
      <c r="C895" t="s">
        <v>36</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50</v>
      </c>
      <c r="C896" t="s">
        <v>36</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50</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50</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50</v>
      </c>
      <c r="C899" t="s">
        <v>36</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3">
      <c r="A900">
        <v>18066</v>
      </c>
      <c r="B900" t="s">
        <v>37</v>
      </c>
      <c r="C900" t="s">
        <v>36</v>
      </c>
      <c r="D900" s="3">
        <v>70000</v>
      </c>
      <c r="E900">
        <v>5</v>
      </c>
      <c r="F900" t="s">
        <v>13</v>
      </c>
      <c r="G900" t="s">
        <v>28</v>
      </c>
      <c r="H900" t="s">
        <v>15</v>
      </c>
      <c r="I900">
        <v>3</v>
      </c>
      <c r="J900" t="s">
        <v>45</v>
      </c>
      <c r="K900" t="s">
        <v>32</v>
      </c>
      <c r="L900">
        <v>60</v>
      </c>
      <c r="M900" t="str">
        <f t="shared" si="14"/>
        <v>Old</v>
      </c>
      <c r="N900" t="s">
        <v>15</v>
      </c>
    </row>
    <row r="901" spans="1:14" x14ac:dyDescent="0.3">
      <c r="A901">
        <v>28192</v>
      </c>
      <c r="B901" t="s">
        <v>50</v>
      </c>
      <c r="C901" t="s">
        <v>38</v>
      </c>
      <c r="D901" s="3">
        <v>70000</v>
      </c>
      <c r="E901">
        <v>5</v>
      </c>
      <c r="F901" t="s">
        <v>31</v>
      </c>
      <c r="G901" t="s">
        <v>21</v>
      </c>
      <c r="H901" t="s">
        <v>15</v>
      </c>
      <c r="I901">
        <v>3</v>
      </c>
      <c r="J901" t="s">
        <v>45</v>
      </c>
      <c r="K901" t="s">
        <v>32</v>
      </c>
      <c r="L901">
        <v>46</v>
      </c>
      <c r="M901" t="str">
        <f t="shared" si="14"/>
        <v>Middle Age</v>
      </c>
      <c r="N901" t="s">
        <v>18</v>
      </c>
    </row>
    <row r="902" spans="1:14" x14ac:dyDescent="0.3">
      <c r="A902">
        <v>16122</v>
      </c>
      <c r="B902" t="s">
        <v>50</v>
      </c>
      <c r="C902" t="s">
        <v>36</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36</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36</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36</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50</v>
      </c>
      <c r="C908" t="s">
        <v>36</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50</v>
      </c>
      <c r="C909" t="s">
        <v>36</v>
      </c>
      <c r="D909" s="3">
        <v>50000</v>
      </c>
      <c r="E909">
        <v>4</v>
      </c>
      <c r="F909" t="s">
        <v>13</v>
      </c>
      <c r="G909" t="s">
        <v>28</v>
      </c>
      <c r="H909" t="s">
        <v>15</v>
      </c>
      <c r="I909">
        <v>2</v>
      </c>
      <c r="J909" t="s">
        <v>45</v>
      </c>
      <c r="K909" t="s">
        <v>32</v>
      </c>
      <c r="L909">
        <v>63</v>
      </c>
      <c r="M909" t="str">
        <f t="shared" si="14"/>
        <v>Old</v>
      </c>
      <c r="N909" t="s">
        <v>18</v>
      </c>
    </row>
    <row r="910" spans="1:14" x14ac:dyDescent="0.3">
      <c r="A910">
        <v>23195</v>
      </c>
      <c r="B910" t="s">
        <v>37</v>
      </c>
      <c r="C910" t="s">
        <v>36</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50</v>
      </c>
      <c r="C911" t="s">
        <v>36</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50</v>
      </c>
      <c r="C912" t="s">
        <v>36</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50</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50</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36</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36</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50</v>
      </c>
      <c r="C917" t="s">
        <v>36</v>
      </c>
      <c r="D917" s="3">
        <v>60000</v>
      </c>
      <c r="E917">
        <v>3</v>
      </c>
      <c r="F917" t="s">
        <v>31</v>
      </c>
      <c r="G917" t="s">
        <v>28</v>
      </c>
      <c r="H917" t="s">
        <v>15</v>
      </c>
      <c r="I917">
        <v>2</v>
      </c>
      <c r="J917" t="s">
        <v>45</v>
      </c>
      <c r="K917" t="s">
        <v>32</v>
      </c>
      <c r="L917">
        <v>64</v>
      </c>
      <c r="M917" t="str">
        <f t="shared" si="14"/>
        <v>Old</v>
      </c>
      <c r="N917" t="s">
        <v>18</v>
      </c>
    </row>
    <row r="918" spans="1:14" x14ac:dyDescent="0.3">
      <c r="A918">
        <v>27273</v>
      </c>
      <c r="B918" t="s">
        <v>37</v>
      </c>
      <c r="C918" t="s">
        <v>36</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36</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50</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50</v>
      </c>
      <c r="C921" t="s">
        <v>38</v>
      </c>
      <c r="D921" s="3">
        <v>40000</v>
      </c>
      <c r="E921">
        <v>4</v>
      </c>
      <c r="F921" t="s">
        <v>27</v>
      </c>
      <c r="G921" t="s">
        <v>21</v>
      </c>
      <c r="H921" t="s">
        <v>15</v>
      </c>
      <c r="I921">
        <v>2</v>
      </c>
      <c r="J921" t="s">
        <v>45</v>
      </c>
      <c r="K921" t="s">
        <v>32</v>
      </c>
      <c r="L921">
        <v>61</v>
      </c>
      <c r="M921" t="str">
        <f t="shared" si="14"/>
        <v>Old</v>
      </c>
      <c r="N921" t="s">
        <v>18</v>
      </c>
    </row>
    <row r="922" spans="1:14" x14ac:dyDescent="0.3">
      <c r="A922">
        <v>20754</v>
      </c>
      <c r="B922" t="s">
        <v>50</v>
      </c>
      <c r="C922" t="s">
        <v>36</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50</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36</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36</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45</v>
      </c>
      <c r="K928" t="s">
        <v>32</v>
      </c>
      <c r="L928">
        <v>57</v>
      </c>
      <c r="M928" t="str">
        <f t="shared" si="14"/>
        <v>Old</v>
      </c>
      <c r="N928" t="s">
        <v>18</v>
      </c>
    </row>
    <row r="929" spans="1:14" x14ac:dyDescent="0.3">
      <c r="A929">
        <v>11823</v>
      </c>
      <c r="B929" t="s">
        <v>50</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50</v>
      </c>
      <c r="C930" t="s">
        <v>36</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50</v>
      </c>
      <c r="C931" t="s">
        <v>36</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50</v>
      </c>
      <c r="C932" t="s">
        <v>36</v>
      </c>
      <c r="D932" s="3">
        <v>70000</v>
      </c>
      <c r="E932">
        <v>5</v>
      </c>
      <c r="F932" t="s">
        <v>31</v>
      </c>
      <c r="G932" t="s">
        <v>21</v>
      </c>
      <c r="H932" t="s">
        <v>18</v>
      </c>
      <c r="I932">
        <v>3</v>
      </c>
      <c r="J932" t="s">
        <v>45</v>
      </c>
      <c r="K932" t="s">
        <v>32</v>
      </c>
      <c r="L932">
        <v>47</v>
      </c>
      <c r="M932" t="str">
        <f t="shared" si="14"/>
        <v>Middle Age</v>
      </c>
      <c r="N932" t="s">
        <v>18</v>
      </c>
    </row>
    <row r="933" spans="1:14" x14ac:dyDescent="0.3">
      <c r="A933">
        <v>14914</v>
      </c>
      <c r="B933" t="s">
        <v>50</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36</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50</v>
      </c>
      <c r="C936" t="s">
        <v>36</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50</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50</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50</v>
      </c>
      <c r="C939" t="s">
        <v>36</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50</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36</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50</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50</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50</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50</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36</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50</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50</v>
      </c>
      <c r="C951" t="s">
        <v>36</v>
      </c>
      <c r="D951" s="3">
        <v>70000</v>
      </c>
      <c r="E951">
        <v>2</v>
      </c>
      <c r="F951" t="s">
        <v>29</v>
      </c>
      <c r="G951" t="s">
        <v>14</v>
      </c>
      <c r="H951" t="s">
        <v>15</v>
      </c>
      <c r="I951">
        <v>2</v>
      </c>
      <c r="J951" t="s">
        <v>45</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50</v>
      </c>
      <c r="C953" t="s">
        <v>36</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50</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50</v>
      </c>
      <c r="C956" t="s">
        <v>36</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50</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50</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50</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50</v>
      </c>
      <c r="C960" t="s">
        <v>36</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50</v>
      </c>
      <c r="C961" t="s">
        <v>36</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36</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50</v>
      </c>
      <c r="C963" t="s">
        <v>38</v>
      </c>
      <c r="D963" s="3">
        <v>120000</v>
      </c>
      <c r="E963">
        <v>2</v>
      </c>
      <c r="F963" t="s">
        <v>13</v>
      </c>
      <c r="G963" t="s">
        <v>28</v>
      </c>
      <c r="H963" t="s">
        <v>15</v>
      </c>
      <c r="I963">
        <v>3</v>
      </c>
      <c r="J963" t="s">
        <v>23</v>
      </c>
      <c r="K963" t="s">
        <v>32</v>
      </c>
      <c r="L963">
        <v>62</v>
      </c>
      <c r="M963" t="str">
        <f t="shared" ref="M963:M1002" si="15">IF(L963&gt;55,"Old",IF(L963&gt;=31,"Middle Age",IF(L963&lt;31,"Adolescent","Invalid")))</f>
        <v>Old</v>
      </c>
      <c r="N963" t="s">
        <v>18</v>
      </c>
    </row>
    <row r="964" spans="1:14" x14ac:dyDescent="0.3">
      <c r="A964">
        <v>16813</v>
      </c>
      <c r="B964" t="s">
        <v>50</v>
      </c>
      <c r="C964" t="s">
        <v>36</v>
      </c>
      <c r="D964" s="3">
        <v>60000</v>
      </c>
      <c r="E964">
        <v>2</v>
      </c>
      <c r="F964" t="s">
        <v>19</v>
      </c>
      <c r="G964" t="s">
        <v>21</v>
      </c>
      <c r="H964" t="s">
        <v>15</v>
      </c>
      <c r="I964">
        <v>2</v>
      </c>
      <c r="J964" t="s">
        <v>45</v>
      </c>
      <c r="K964" t="s">
        <v>32</v>
      </c>
      <c r="L964">
        <v>55</v>
      </c>
      <c r="M964" t="str">
        <f t="shared" si="15"/>
        <v>Middle Age</v>
      </c>
      <c r="N964" t="s">
        <v>18</v>
      </c>
    </row>
    <row r="965" spans="1:14" x14ac:dyDescent="0.3">
      <c r="A965">
        <v>16007</v>
      </c>
      <c r="B965" t="s">
        <v>50</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36</v>
      </c>
      <c r="D966" s="3">
        <v>70000</v>
      </c>
      <c r="E966">
        <v>4</v>
      </c>
      <c r="F966" t="s">
        <v>19</v>
      </c>
      <c r="G966" t="s">
        <v>21</v>
      </c>
      <c r="H966" t="s">
        <v>15</v>
      </c>
      <c r="I966">
        <v>1</v>
      </c>
      <c r="J966" t="s">
        <v>45</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50</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50</v>
      </c>
      <c r="C969" t="s">
        <v>36</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36</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50</v>
      </c>
      <c r="C971" t="s">
        <v>36</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50</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50</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50</v>
      </c>
      <c r="C975" t="s">
        <v>36</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50</v>
      </c>
      <c r="C976" t="s">
        <v>36</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50</v>
      </c>
      <c r="C977" t="s">
        <v>36</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50</v>
      </c>
      <c r="C978" t="s">
        <v>38</v>
      </c>
      <c r="D978" s="3">
        <v>60000</v>
      </c>
      <c r="E978">
        <v>3</v>
      </c>
      <c r="F978" t="s">
        <v>13</v>
      </c>
      <c r="G978" t="s">
        <v>28</v>
      </c>
      <c r="H978" t="s">
        <v>15</v>
      </c>
      <c r="I978">
        <v>2</v>
      </c>
      <c r="J978" t="s">
        <v>45</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50</v>
      </c>
      <c r="C980" t="s">
        <v>36</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36</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45</v>
      </c>
      <c r="K982" t="s">
        <v>32</v>
      </c>
      <c r="L982">
        <v>40</v>
      </c>
      <c r="M982" t="str">
        <f t="shared" si="15"/>
        <v>Middle Age</v>
      </c>
      <c r="N982" t="s">
        <v>15</v>
      </c>
    </row>
    <row r="983" spans="1:14" x14ac:dyDescent="0.3">
      <c r="A983">
        <v>15982</v>
      </c>
      <c r="B983" t="s">
        <v>50</v>
      </c>
      <c r="C983" t="s">
        <v>36</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36</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50</v>
      </c>
      <c r="C985" t="s">
        <v>36</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50</v>
      </c>
      <c r="C986" t="s">
        <v>36</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36</v>
      </c>
      <c r="D988" s="3">
        <v>40000</v>
      </c>
      <c r="E988">
        <v>5</v>
      </c>
      <c r="F988" t="s">
        <v>27</v>
      </c>
      <c r="G988" t="s">
        <v>21</v>
      </c>
      <c r="H988" t="s">
        <v>15</v>
      </c>
      <c r="I988">
        <v>4</v>
      </c>
      <c r="J988" t="s">
        <v>45</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45</v>
      </c>
      <c r="K989" t="s">
        <v>32</v>
      </c>
      <c r="L989">
        <v>66</v>
      </c>
      <c r="M989" t="str">
        <f t="shared" si="15"/>
        <v>Old</v>
      </c>
      <c r="N989" t="s">
        <v>18</v>
      </c>
    </row>
    <row r="990" spans="1:14" x14ac:dyDescent="0.3">
      <c r="A990">
        <v>22730</v>
      </c>
      <c r="B990" t="s">
        <v>50</v>
      </c>
      <c r="C990" t="s">
        <v>36</v>
      </c>
      <c r="D990" s="3">
        <v>70000</v>
      </c>
      <c r="E990">
        <v>5</v>
      </c>
      <c r="F990" t="s">
        <v>13</v>
      </c>
      <c r="G990" t="s">
        <v>28</v>
      </c>
      <c r="H990" t="s">
        <v>15</v>
      </c>
      <c r="I990">
        <v>2</v>
      </c>
      <c r="J990" t="s">
        <v>45</v>
      </c>
      <c r="K990" t="s">
        <v>32</v>
      </c>
      <c r="L990">
        <v>63</v>
      </c>
      <c r="M990" t="str">
        <f t="shared" si="15"/>
        <v>Old</v>
      </c>
      <c r="N990" t="s">
        <v>18</v>
      </c>
    </row>
    <row r="991" spans="1:14" x14ac:dyDescent="0.3">
      <c r="A991">
        <v>29134</v>
      </c>
      <c r="B991" t="s">
        <v>50</v>
      </c>
      <c r="C991" t="s">
        <v>36</v>
      </c>
      <c r="D991" s="3">
        <v>60000</v>
      </c>
      <c r="E991">
        <v>4</v>
      </c>
      <c r="F991" t="s">
        <v>13</v>
      </c>
      <c r="G991" t="s">
        <v>14</v>
      </c>
      <c r="H991" t="s">
        <v>18</v>
      </c>
      <c r="I991">
        <v>3</v>
      </c>
      <c r="J991" t="s">
        <v>45</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50</v>
      </c>
      <c r="C994" t="s">
        <v>36</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36</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50</v>
      </c>
      <c r="C996" t="s">
        <v>36</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50</v>
      </c>
      <c r="C997" t="s">
        <v>36</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36</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50</v>
      </c>
      <c r="C999" t="s">
        <v>36</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36</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36</v>
      </c>
      <c r="D1001" s="3">
        <v>60000</v>
      </c>
      <c r="E1001">
        <v>3</v>
      </c>
      <c r="F1001" t="s">
        <v>27</v>
      </c>
      <c r="G1001" t="s">
        <v>21</v>
      </c>
      <c r="H1001" t="s">
        <v>15</v>
      </c>
      <c r="I1001">
        <v>2</v>
      </c>
      <c r="J1001" t="s">
        <v>45</v>
      </c>
      <c r="K1001" t="s">
        <v>32</v>
      </c>
      <c r="L1001">
        <v>53</v>
      </c>
      <c r="M1001" t="str">
        <f t="shared" si="15"/>
        <v>Middle Age</v>
      </c>
      <c r="N1001" t="s">
        <v>15</v>
      </c>
    </row>
    <row r="1002" spans="1:14" x14ac:dyDescent="0.3">
      <c r="M1002" t="str">
        <f t="shared" si="15"/>
        <v>Adolescent</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29C39-EBA6-42DC-AFE9-024B0B833D01}">
  <dimension ref="A1:D63"/>
  <sheetViews>
    <sheetView workbookViewId="0">
      <selection activeCell="C58" sqref="C58:D58"/>
      <pivotSelection pane="bottomRight" activeRow="57" activeCol="2" previousRow="57" previousCol="2" click="1" r:id="rId4">
        <pivotArea type="topRight" dataOnly="0" labelOnly="1" outline="0" fieldPosition="0"/>
      </pivotSelection>
    </sheetView>
  </sheetViews>
  <sheetFormatPr defaultRowHeight="14.4" x14ac:dyDescent="0.3"/>
  <cols>
    <col min="1" max="1" width="21.88671875" bestFit="1" customWidth="1"/>
    <col min="2" max="2" width="15.5546875" bestFit="1" customWidth="1"/>
    <col min="3" max="3" width="3.77734375" bestFit="1" customWidth="1"/>
    <col min="4" max="5" width="10.77734375" bestFit="1" customWidth="1"/>
  </cols>
  <sheetData>
    <row r="1" spans="1:4" x14ac:dyDescent="0.3">
      <c r="A1" s="4" t="s">
        <v>42</v>
      </c>
      <c r="B1" s="4" t="s">
        <v>43</v>
      </c>
    </row>
    <row r="2" spans="1:4" x14ac:dyDescent="0.3">
      <c r="A2" s="4" t="s">
        <v>40</v>
      </c>
      <c r="B2" t="s">
        <v>18</v>
      </c>
      <c r="C2" t="s">
        <v>15</v>
      </c>
      <c r="D2" t="s">
        <v>41</v>
      </c>
    </row>
    <row r="3" spans="1:4" x14ac:dyDescent="0.3">
      <c r="A3" s="5" t="s">
        <v>38</v>
      </c>
      <c r="B3" s="6">
        <v>85000</v>
      </c>
      <c r="C3" s="6">
        <v>68750</v>
      </c>
      <c r="D3" s="6">
        <v>74166.666666666672</v>
      </c>
    </row>
    <row r="4" spans="1:4" x14ac:dyDescent="0.3">
      <c r="A4" s="5" t="s">
        <v>36</v>
      </c>
      <c r="B4" s="6">
        <v>78181.818181818177</v>
      </c>
      <c r="C4" s="6">
        <v>72727.272727272721</v>
      </c>
      <c r="D4" s="6">
        <v>75454.545454545456</v>
      </c>
    </row>
    <row r="5" spans="1:4" x14ac:dyDescent="0.3">
      <c r="A5" s="5" t="s">
        <v>41</v>
      </c>
      <c r="B5" s="6">
        <v>80000</v>
      </c>
      <c r="C5" s="6">
        <v>71052.631578947374</v>
      </c>
      <c r="D5" s="6">
        <v>75000</v>
      </c>
    </row>
    <row r="6" spans="1:4" x14ac:dyDescent="0.3">
      <c r="B6" s="6"/>
      <c r="C6" s="6"/>
      <c r="D6" s="6"/>
    </row>
    <row r="20" spans="1:4" x14ac:dyDescent="0.3">
      <c r="A20" s="4" t="s">
        <v>44</v>
      </c>
      <c r="B20" s="4" t="s">
        <v>43</v>
      </c>
    </row>
    <row r="21" spans="1:4" x14ac:dyDescent="0.3">
      <c r="A21" s="4" t="s">
        <v>40</v>
      </c>
      <c r="B21" t="s">
        <v>18</v>
      </c>
      <c r="C21" t="s">
        <v>15</v>
      </c>
      <c r="D21" t="s">
        <v>41</v>
      </c>
    </row>
    <row r="22" spans="1:4" x14ac:dyDescent="0.3">
      <c r="A22" s="5" t="s">
        <v>16</v>
      </c>
      <c r="B22">
        <v>2</v>
      </c>
      <c r="C22">
        <v>9</v>
      </c>
      <c r="D22">
        <v>11</v>
      </c>
    </row>
    <row r="23" spans="1:4" x14ac:dyDescent="0.3">
      <c r="A23" s="5" t="s">
        <v>26</v>
      </c>
      <c r="B23">
        <v>2</v>
      </c>
      <c r="C23">
        <v>3</v>
      </c>
      <c r="D23">
        <v>5</v>
      </c>
    </row>
    <row r="24" spans="1:4" x14ac:dyDescent="0.3">
      <c r="A24" s="5" t="s">
        <v>22</v>
      </c>
      <c r="B24">
        <v>4</v>
      </c>
      <c r="C24">
        <v>3</v>
      </c>
      <c r="D24">
        <v>7</v>
      </c>
    </row>
    <row r="25" spans="1:4" x14ac:dyDescent="0.3">
      <c r="A25" s="5" t="s">
        <v>23</v>
      </c>
      <c r="B25">
        <v>3</v>
      </c>
      <c r="C25">
        <v>2</v>
      </c>
      <c r="D25">
        <v>5</v>
      </c>
    </row>
    <row r="26" spans="1:4" x14ac:dyDescent="0.3">
      <c r="A26" s="5" t="s">
        <v>45</v>
      </c>
      <c r="B26">
        <v>4</v>
      </c>
      <c r="C26">
        <v>2</v>
      </c>
      <c r="D26">
        <v>6</v>
      </c>
    </row>
    <row r="27" spans="1:4" x14ac:dyDescent="0.3">
      <c r="A27" s="5" t="s">
        <v>41</v>
      </c>
      <c r="B27">
        <v>15</v>
      </c>
      <c r="C27">
        <v>19</v>
      </c>
      <c r="D27">
        <v>34</v>
      </c>
    </row>
    <row r="41" spans="1:4" x14ac:dyDescent="0.3">
      <c r="A41" s="4" t="s">
        <v>44</v>
      </c>
      <c r="B41" s="4" t="s">
        <v>43</v>
      </c>
    </row>
    <row r="42" spans="1:4" x14ac:dyDescent="0.3">
      <c r="A42" s="4" t="s">
        <v>40</v>
      </c>
      <c r="B42" t="s">
        <v>18</v>
      </c>
      <c r="C42" t="s">
        <v>15</v>
      </c>
      <c r="D42" t="s">
        <v>41</v>
      </c>
    </row>
    <row r="43" spans="1:4" x14ac:dyDescent="0.3">
      <c r="A43" s="5" t="s">
        <v>46</v>
      </c>
      <c r="B43">
        <v>1</v>
      </c>
      <c r="C43">
        <v>4</v>
      </c>
      <c r="D43">
        <v>5</v>
      </c>
    </row>
    <row r="44" spans="1:4" x14ac:dyDescent="0.3">
      <c r="A44" s="5" t="s">
        <v>47</v>
      </c>
      <c r="B44">
        <v>12</v>
      </c>
      <c r="C44">
        <v>13</v>
      </c>
      <c r="D44">
        <v>25</v>
      </c>
    </row>
    <row r="45" spans="1:4" x14ac:dyDescent="0.3">
      <c r="A45" s="5" t="s">
        <v>48</v>
      </c>
      <c r="B45">
        <v>2</v>
      </c>
      <c r="C45">
        <v>2</v>
      </c>
      <c r="D45">
        <v>4</v>
      </c>
    </row>
    <row r="46" spans="1:4" x14ac:dyDescent="0.3">
      <c r="A46" s="5" t="s">
        <v>41</v>
      </c>
      <c r="B46">
        <v>15</v>
      </c>
      <c r="C46">
        <v>19</v>
      </c>
      <c r="D46">
        <v>34</v>
      </c>
    </row>
    <row r="58" spans="1:4" x14ac:dyDescent="0.3">
      <c r="A58" s="4" t="s">
        <v>44</v>
      </c>
      <c r="B58" s="4" t="s">
        <v>43</v>
      </c>
    </row>
    <row r="59" spans="1:4" x14ac:dyDescent="0.3">
      <c r="A59" s="4" t="s">
        <v>40</v>
      </c>
      <c r="B59" t="s">
        <v>18</v>
      </c>
      <c r="C59" t="s">
        <v>15</v>
      </c>
      <c r="D59" t="s">
        <v>41</v>
      </c>
    </row>
    <row r="60" spans="1:4" x14ac:dyDescent="0.3">
      <c r="A60" s="5" t="s">
        <v>46</v>
      </c>
      <c r="B60">
        <v>1</v>
      </c>
      <c r="C60">
        <v>4</v>
      </c>
      <c r="D60">
        <v>5</v>
      </c>
    </row>
    <row r="61" spans="1:4" x14ac:dyDescent="0.3">
      <c r="A61" s="5" t="s">
        <v>47</v>
      </c>
      <c r="B61">
        <v>12</v>
      </c>
      <c r="C61">
        <v>13</v>
      </c>
      <c r="D61">
        <v>25</v>
      </c>
    </row>
    <row r="62" spans="1:4" x14ac:dyDescent="0.3">
      <c r="A62" s="5" t="s">
        <v>48</v>
      </c>
      <c r="B62">
        <v>2</v>
      </c>
      <c r="C62">
        <v>2</v>
      </c>
      <c r="D62">
        <v>4</v>
      </c>
    </row>
    <row r="63" spans="1:4" x14ac:dyDescent="0.3">
      <c r="A63" s="5" t="s">
        <v>41</v>
      </c>
      <c r="B63">
        <v>15</v>
      </c>
      <c r="C63">
        <v>19</v>
      </c>
      <c r="D63">
        <v>34</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89BCC-C33C-4C44-87F0-059EC87DB5DB}">
  <dimension ref="A1:T3"/>
  <sheetViews>
    <sheetView showGridLines="0" topLeftCell="A3" workbookViewId="0">
      <selection activeCell="T3" sqref="T3"/>
    </sheetView>
  </sheetViews>
  <sheetFormatPr defaultRowHeight="14.4" x14ac:dyDescent="0.3"/>
  <sheetData>
    <row r="1" spans="1:20" x14ac:dyDescent="0.3">
      <c r="A1" s="7"/>
      <c r="B1" s="7"/>
      <c r="C1" s="7"/>
      <c r="D1" s="7"/>
      <c r="E1" s="7"/>
      <c r="F1" s="7"/>
      <c r="G1" s="7"/>
      <c r="H1" s="7"/>
      <c r="I1" s="7"/>
      <c r="J1" s="7"/>
      <c r="K1" s="7"/>
      <c r="L1" s="7"/>
      <c r="M1" s="7"/>
      <c r="N1" s="7"/>
      <c r="O1" s="7"/>
      <c r="P1" s="7"/>
      <c r="Q1" s="7"/>
      <c r="R1" s="7"/>
      <c r="S1" s="7"/>
      <c r="T1" s="7"/>
    </row>
    <row r="2" spans="1:20" x14ac:dyDescent="0.3">
      <c r="A2" s="7"/>
      <c r="B2" s="7"/>
      <c r="C2" s="7"/>
      <c r="D2" s="7"/>
      <c r="E2" s="7"/>
      <c r="F2" s="7"/>
      <c r="G2" s="7"/>
      <c r="H2" s="7"/>
      <c r="I2" s="7"/>
      <c r="J2" s="7"/>
      <c r="K2" s="7"/>
      <c r="L2" s="7"/>
      <c r="M2" s="7"/>
      <c r="N2" s="7"/>
      <c r="O2" s="7"/>
      <c r="P2" s="7"/>
      <c r="Q2" s="7"/>
      <c r="R2" s="7"/>
      <c r="S2" s="7"/>
      <c r="T2" s="7"/>
    </row>
    <row r="3" spans="1:20" ht="36.6" x14ac:dyDescent="0.3">
      <c r="A3" s="7"/>
      <c r="B3" s="7"/>
      <c r="C3" s="7"/>
      <c r="D3" s="7"/>
      <c r="E3" s="7"/>
      <c r="F3" s="8" t="s">
        <v>49</v>
      </c>
      <c r="G3" s="7"/>
      <c r="H3" s="7"/>
      <c r="I3" s="7"/>
      <c r="J3" s="7"/>
      <c r="K3" s="7"/>
      <c r="L3" s="7"/>
      <c r="M3" s="7"/>
      <c r="N3" s="7"/>
      <c r="O3" s="7"/>
      <c r="P3" s="7"/>
      <c r="Q3" s="7"/>
      <c r="R3" s="7"/>
      <c r="S3" s="7"/>
      <c r="T3"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lokesharumuri@outlook.com</cp:lastModifiedBy>
  <cp:lastPrinted>2025-09-23T16:07:10Z</cp:lastPrinted>
  <dcterms:created xsi:type="dcterms:W3CDTF">2022-03-18T02:50:57Z</dcterms:created>
  <dcterms:modified xsi:type="dcterms:W3CDTF">2025-09-25T12:42:43Z</dcterms:modified>
</cp:coreProperties>
</file>