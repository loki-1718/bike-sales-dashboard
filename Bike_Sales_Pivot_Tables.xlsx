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2C212F8D-7A71-4F32-B8EF-4BAB1D245946}" xr6:coauthVersionLast="47" xr6:coauthVersionMax="47" xr10:uidLastSave="{00000000-0000-0000-0000-000000000000}"/>
  <bookViews>
    <workbookView xWindow="-108" yWindow="-108" windowWidth="23256" windowHeight="13896"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2" i="2"/>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<sst xmlns="http://schemas.openxmlformats.org/spreadsheetml/2006/main" count="16277" uniqueCount="51">
  <si>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</si>
  <si>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</si>
  <si>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</si>
  <si>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</si>
  <si>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</si>
  <si>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</si>
  <si>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</si>
  <si>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</si>
  <si>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</si>
  <si>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</si>
  <si>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</si>
  <si>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</si>
  <si>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</si>
  <si>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</si>
  <si>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</si>
  <si>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</si>
  <si>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</si>
  <si>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</si>
  <si>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</si>
  <si>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</si>
  <si>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</si>
  <si>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</si>
  <si>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</si>
  <si>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</si>
  <si>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</si>
  <si>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</si>
  <si>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</si>
  <si>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</si>
  <si>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</si>
  <si>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</si>
  <si>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</si>
  <si>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</si>
  <si>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</si>
  <si>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</si>
  <si>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</si>
  <si>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</si>
  <si>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</si>
  <si>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</si>
  <si>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</si>
  <si>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Brackets</t>
  </si>
  <si>
    <t>Row Labels</t>
  </si>
  <si>
    <t>Grand Total</t>
  </si>
  <si>
    <t>Average of Income</t>
  </si>
  <si>
    <t>Column Labels</t>
  </si>
  <si>
    <t>Count of Purchased Bike</t>
  </si>
  <si>
    <t>10 Miles+</t>
  </si>
  <si>
    <t>Adolescent</t>
  </si>
  <si>
    <t>Middle Age</t>
  </si>
  <si>
    <t>Old</t>
  </si>
  <si>
    <t>Bike Sales Dashboard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</si>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</sst>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D8C-4714-9684-8F48847A18D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D8C-4714-9684-8F48847A18DA}"/>
            </c:ext>
          </c:extLst>
        </c:ser>
        <c:dLbls>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E2CD-4C62-92B6-4D4BD0AA9CF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5-E2CD-4C62-92B6-4D4BD0AA9CFE}"/>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E772-4CB4-9E63-8A90CBAA886C}"/>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5-E772-4CB4-9E63-8A90CBAA886C}"/>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4A0-4F0A-B124-565985FA09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4A0-4F0A-B124-565985FA09EC}"/>
            </c:ext>
          </c:extLst>
        </c:ser>
        <c:dLbls>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6AC-4025-B2E8-E26D828310A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4-16AC-4025-B2E8-E26D828310A2}"/>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Pivot Tables1.xlsx]Pivot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9362503467554355"/>
          <c:y val="5.7721477997068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8830-483F-9976-AFB3A1BCD5DE}"/>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4-8830-483F-9976-AFB3A1BCD5DE}"/>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640080</xdr:colOff>
      <xdr:row>0</xdr:row>
      <xdr:rowOff>0</xdr:rowOff>
    </xdr:from>
    <xdr:to>
      <xdr:col>12</xdr:col>
      <xdr:colOff>449580</xdr:colOff>
      <xdr:row>16</xdr:row>
      <xdr:rowOff>175260</xdr:rowOff>
    </xdr:to>
    <xdr:graphicFrame macro="">
      <xdr:nvGraphicFramePr>
        <xdr:cNvPr id="2" name="Chart 1">
          <a:extLst>
            <a:ext uri="{FF2B5EF4-FFF2-40B4-BE49-F238E27FC236}">
              <a16:creationId xmlns:a16="http://schemas.microsoft.com/office/drawing/2014/main" id="{A9E79FF8-B50E-C022-3EEE-A0D8EC10A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18</xdr:row>
      <xdr:rowOff>133350</xdr:rowOff>
    </xdr:from>
    <xdr:to>
      <xdr:col>13</xdr:col>
      <xdr:colOff>541020</xdr:colOff>
      <xdr:row>33</xdr:row>
      <xdr:rowOff>133350</xdr:rowOff>
    </xdr:to>
    <xdr:graphicFrame macro="">
      <xdr:nvGraphicFramePr>
        <xdr:cNvPr id="3" name="Chart 2">
          <a:extLst>
            <a:ext uri="{FF2B5EF4-FFF2-40B4-BE49-F238E27FC236}">
              <a16:creationId xmlns:a16="http://schemas.microsoft.com/office/drawing/2014/main" id="{A6B395F1-AB8F-41C3-FE33-79CE53064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38</xdr:row>
      <xdr:rowOff>41910</xdr:rowOff>
    </xdr:from>
    <xdr:to>
      <xdr:col>13</xdr:col>
      <xdr:colOff>495300</xdr:colOff>
      <xdr:row>53</xdr:row>
      <xdr:rowOff>41910</xdr:rowOff>
    </xdr:to>
    <xdr:graphicFrame macro="">
      <xdr:nvGraphicFramePr>
        <xdr:cNvPr id="4" name="Chart 3">
          <a:extLst>
            <a:ext uri="{FF2B5EF4-FFF2-40B4-BE49-F238E27FC236}">
              <a16:creationId xmlns:a16="http://schemas.microsoft.com/office/drawing/2014/main" id="{5AAB975B-CA30-966F-F578-3297085D2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129540</xdr:rowOff>
    </xdr:from>
    <xdr:to>
      <xdr:col>11</xdr:col>
      <xdr:colOff>45720</xdr:colOff>
      <xdr:row>16</xdr:row>
      <xdr:rowOff>114300</xdr:rowOff>
    </xdr:to>
    <xdr:graphicFrame macro="">
      <xdr:nvGraphicFramePr>
        <xdr:cNvPr id="4" name="Chart 3">
          <a:extLst>
            <a:ext uri="{FF2B5EF4-FFF2-40B4-BE49-F238E27FC236}">
              <a16:creationId xmlns:a16="http://schemas.microsoft.com/office/drawing/2014/main" id="{B5F6E484-BCC1-4DDC-AA77-2B5A38555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76200</xdr:rowOff>
    </xdr:from>
    <xdr:to>
      <xdr:col>19</xdr:col>
      <xdr:colOff>76200</xdr:colOff>
      <xdr:row>29</xdr:row>
      <xdr:rowOff>167640</xdr:rowOff>
    </xdr:to>
    <xdr:graphicFrame macro="">
      <xdr:nvGraphicFramePr>
        <xdr:cNvPr id="5" name="Chart 4">
          <a:extLst>
            <a:ext uri="{FF2B5EF4-FFF2-40B4-BE49-F238E27FC236}">
              <a16:creationId xmlns:a16="http://schemas.microsoft.com/office/drawing/2014/main" id="{F6F71C24-AD7B-46BF-BA51-81098979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3</xdr:row>
      <xdr:rowOff>129540</xdr:rowOff>
    </xdr:from>
    <xdr:to>
      <xdr:col>19</xdr:col>
      <xdr:colOff>76200</xdr:colOff>
      <xdr:row>16</xdr:row>
      <xdr:rowOff>99060</xdr:rowOff>
    </xdr:to>
    <xdr:graphicFrame macro="">
      <xdr:nvGraphicFramePr>
        <xdr:cNvPr id="6" name="Chart 5">
          <a:extLst>
            <a:ext uri="{FF2B5EF4-FFF2-40B4-BE49-F238E27FC236}">
              <a16:creationId xmlns:a16="http://schemas.microsoft.com/office/drawing/2014/main" id="{5C5F9857-1B14-43ED-A492-B2D7F979E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3</xdr:row>
      <xdr:rowOff>129541</xdr:rowOff>
    </xdr:from>
    <xdr:to>
      <xdr:col>2</xdr:col>
      <xdr:colOff>419100</xdr:colOff>
      <xdr:row>10</xdr:row>
      <xdr:rowOff>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612F543A-81D9-4B5C-ACED-552E820D448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960121"/>
              <a:ext cx="16002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175260</xdr:rowOff>
    </xdr:from>
    <xdr:to>
      <xdr:col>2</xdr:col>
      <xdr:colOff>441960</xdr:colOff>
      <xdr:row>29</xdr:row>
      <xdr:rowOff>76199</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6A1C9725-389A-C8B5-01A7-E76AF90DF3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3749040"/>
              <a:ext cx="1653540" cy="1912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60961</xdr:rowOff>
    </xdr:from>
    <xdr:to>
      <xdr:col>2</xdr:col>
      <xdr:colOff>426720</xdr:colOff>
      <xdr:row>18</xdr:row>
      <xdr:rowOff>137161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93BDAB5-07A5-A196-661E-1A38ABDF2C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71701"/>
              <a:ext cx="164592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3.902677199076" createdVersion="8" refreshedVersion="8" minRefreshableVersion="3" recordCount="1001" xr:uid="{1CC52C93-EEC1-4D5E-AE59-FCCB5BA4AD02}">
  <cacheSource type="worksheet">
    <worksheetSource ref="A1:N1002"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73888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10D0A-3730-43C4-84E7-75DA311D84A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65E5D-7470-4C48-8BA4-E43B9A5C6F4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axis="axisRow" showAll="0">
      <items count="8">
        <item x="0"/>
        <item m="1" x="6"/>
        <item x="3"/>
        <item x="1"/>
        <item x="2"/>
        <item x="5"/>
        <item x="4"/>
        <item t="default"/>
      </items>
    </pivotField>
    <pivotField showAll="0">
      <items count="5">
        <item h="1" x="0"/>
        <item h="1" x="2"/>
        <item x="1"/>
        <item h="1" x="3"/>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E094F-24BB-4B05-AB5B-AB393C76A29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CF81F-4546-4F11-87CC-18DF63A710D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63"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61A134-2E40-46A6-BEBC-914A04BBA9E9}" sourceName="Marital Status">
  <pivotTables>
    <pivotTable tabId="3" name="PivotTable1"/>
    <pivotTable tabId="3" name="PivotTable2"/>
    <pivotTable tabId="3" name="PivotTable3"/>
    <pivotTable tabId="3" name="PivotTable4"/>
  </pivotTables>
  <data>
    <tabular pivotCacheId="738889332">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3E51DD7-1B52-4583-BE09-0A4B47FF0911}" sourceName="Education">
  <pivotTables>
    <pivotTable tabId="3" name="PivotTable1"/>
    <pivotTable tabId="3" name="PivotTable2"/>
    <pivotTable tabId="3" name="PivotTable3"/>
    <pivotTable tabId="3" name="PivotTable4"/>
  </pivotTables>
  <data>
    <tabular pivotCacheId="738889332">
      <items count="6">
        <i x="0" s="1"/>
        <i x="4"/>
        <i x="2"/>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DB99B5-56A8-46EF-8097-47CB16B69194}" sourceName="Region">
  <pivotTables>
    <pivotTable tabId="3" name="PivotTable1"/>
    <pivotTable tabId="3" name="PivotTable2"/>
    <pivotTable tabId="3" name="PivotTable3"/>
    <pivotTable tabId="3" name="PivotTable4"/>
  </pivotTables>
  <data>
    <tabular pivotCacheId="738889332">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7C0C03-E8D6-4449-ABDD-DC24161D2A81}" cache="Slicer_Marital_Status" caption="Marital Status" rowHeight="234950"/>
  <slicer name="Education" xr10:uid="{9FFB9A23-CCCB-4718-98A4-F3EA6E6C7FC2}" cache="Slicer_Education" caption="Education" rowHeight="234950"/>
  <slicer name="Region" xr10:uid="{5F9FBF44-BD3A-44DD-AE85-209D2E4B3C4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20" sqref="Q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448B-4FD6-4830-8F24-3A4949D310C2}">
  <dimension ref="A1:N1002"/>
  <sheetViews>
    <sheetView topLeftCell="A61" zoomScaleNormal="100" workbookViewId="0">
      <selection activeCell="B1" sqref="A1:XFD1048576"/>
    </sheetView>
  </sheetViews>
  <sheetFormatPr defaultColWidth="11.88671875" defaultRowHeight="14.4" x14ac:dyDescent="0.3"/>
  <cols>
    <col min="1" max="1" width="15.77734375" customWidth="1"/>
    <col min="4" max="4" width="12.77734375" style="3" bestFit="1" customWidth="1"/>
    <col min="5" max="5" width="11.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39</v>
      </c>
      <c r="N1" t="s">
        <v>12</v>
      </c>
    </row>
    <row r="2" spans="1:14" x14ac:dyDescent="0.3">
      <c r="A2">
        <v>12496</v>
      </c>
      <c r="B2" t="s">
        <v>50</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50</v>
      </c>
      <c r="C3" t="s">
        <v>36</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50</v>
      </c>
      <c r="C4" t="s">
        <v>36</v>
      </c>
      <c r="D4" s="3">
        <v>80000</v>
      </c>
      <c r="E4">
        <v>5</v>
      </c>
      <c r="F4" t="s">
        <v>19</v>
      </c>
      <c r="G4" t="s">
        <v>21</v>
      </c>
      <c r="H4" t="s">
        <v>18</v>
      </c>
      <c r="I4">
        <v>2</v>
      </c>
      <c r="J4" t="s">
        <v>22</v>
      </c>
      <c r="K4" t="s">
        <v>17</v>
      </c>
      <c r="L4">
        <v>60</v>
      </c>
      <c r="M4" t="str">
        <f t="shared" si="0"/>
        <v>Old</v>
      </c>
      <c r="N4" t="s">
        <v>18</v>
      </c>
    </row>
    <row r="5" spans="1:14" x14ac:dyDescent="0.3">
      <c r="A5">
        <v>24381</v>
      </c>
      <c r="B5" t="s">
        <v>37</v>
      </c>
      <c r="C5" t="s">
        <v>36</v>
      </c>
      <c r="D5" s="3">
        <v>70000</v>
      </c>
      <c r="E5">
        <v>0</v>
      </c>
      <c r="F5" t="s">
        <v>13</v>
      </c>
      <c r="G5" t="s">
        <v>21</v>
      </c>
      <c r="H5" t="s">
        <v>15</v>
      </c>
      <c r="I5">
        <v>1</v>
      </c>
      <c r="J5" t="s">
        <v>23</v>
      </c>
      <c r="K5" t="s">
        <v>24</v>
      </c>
      <c r="L5">
        <v>41</v>
      </c>
      <c r="M5" t="str">
        <f t="shared" si="0"/>
        <v>Middle Age</v>
      </c>
      <c r="N5" t="s">
        <v>15</v>
      </c>
    </row>
    <row r="6" spans="1:14" x14ac:dyDescent="0.3">
      <c r="A6">
        <v>25597</v>
      </c>
      <c r="B6" t="s">
        <v>37</v>
      </c>
      <c r="C6" t="s">
        <v>36</v>
      </c>
      <c r="D6" s="3">
        <v>30000</v>
      </c>
      <c r="E6">
        <v>0</v>
      </c>
      <c r="F6" t="s">
        <v>13</v>
      </c>
      <c r="G6" t="s">
        <v>20</v>
      </c>
      <c r="H6" t="s">
        <v>18</v>
      </c>
      <c r="I6">
        <v>0</v>
      </c>
      <c r="J6" t="s">
        <v>16</v>
      </c>
      <c r="K6" t="s">
        <v>17</v>
      </c>
      <c r="L6">
        <v>36</v>
      </c>
      <c r="M6" t="str">
        <f t="shared" si="0"/>
        <v>Middle Age</v>
      </c>
      <c r="N6" t="s">
        <v>15</v>
      </c>
    </row>
    <row r="7" spans="1:14" x14ac:dyDescent="0.3">
      <c r="A7">
        <v>13507</v>
      </c>
      <c r="B7" t="s">
        <v>50</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36</v>
      </c>
      <c r="D8" s="3">
        <v>160000</v>
      </c>
      <c r="E8">
        <v>2</v>
      </c>
      <c r="F8" t="s">
        <v>27</v>
      </c>
      <c r="G8" t="s">
        <v>28</v>
      </c>
      <c r="H8" t="s">
        <v>15</v>
      </c>
      <c r="I8">
        <v>4</v>
      </c>
      <c r="J8" t="s">
        <v>16</v>
      </c>
      <c r="K8" t="s">
        <v>24</v>
      </c>
      <c r="L8">
        <v>33</v>
      </c>
      <c r="M8" t="str">
        <f t="shared" si="0"/>
        <v>Middle Age</v>
      </c>
      <c r="N8" t="s">
        <v>15</v>
      </c>
    </row>
    <row r="9" spans="1:14" x14ac:dyDescent="0.3">
      <c r="A9">
        <v>19364</v>
      </c>
      <c r="B9" t="s">
        <v>50</v>
      </c>
      <c r="C9" t="s">
        <v>36</v>
      </c>
      <c r="D9" s="3">
        <v>40000</v>
      </c>
      <c r="E9">
        <v>1</v>
      </c>
      <c r="F9" t="s">
        <v>13</v>
      </c>
      <c r="G9" t="s">
        <v>14</v>
      </c>
      <c r="H9" t="s">
        <v>15</v>
      </c>
      <c r="I9">
        <v>0</v>
      </c>
      <c r="J9" t="s">
        <v>16</v>
      </c>
      <c r="K9" t="s">
        <v>17</v>
      </c>
      <c r="L9">
        <v>43</v>
      </c>
      <c r="M9" t="str">
        <f t="shared" si="0"/>
        <v>Middle Age</v>
      </c>
      <c r="N9" t="s">
        <v>15</v>
      </c>
    </row>
    <row r="10" spans="1:14" x14ac:dyDescent="0.3">
      <c r="A10">
        <v>22155</v>
      </c>
      <c r="B10" t="s">
        <v>50</v>
      </c>
      <c r="C10" t="s">
        <v>36</v>
      </c>
      <c r="D10" s="3">
        <v>20000</v>
      </c>
      <c r="E10">
        <v>2</v>
      </c>
      <c r="F10" t="s">
        <v>29</v>
      </c>
      <c r="G10" t="s">
        <v>20</v>
      </c>
      <c r="H10" t="s">
        <v>15</v>
      </c>
      <c r="I10">
        <v>2</v>
      </c>
      <c r="J10" t="s">
        <v>23</v>
      </c>
      <c r="K10" t="s">
        <v>24</v>
      </c>
      <c r="L10">
        <v>58</v>
      </c>
      <c r="M10" t="str">
        <f t="shared" si="0"/>
        <v>Old</v>
      </c>
      <c r="N10" t="s">
        <v>18</v>
      </c>
    </row>
    <row r="11" spans="1:14" x14ac:dyDescent="0.3">
      <c r="A11">
        <v>19280</v>
      </c>
      <c r="B11" t="s">
        <v>50</v>
      </c>
      <c r="C11" t="s">
        <v>36</v>
      </c>
      <c r="D11" s="3">
        <v>120000</v>
      </c>
      <c r="E11">
        <v>2</v>
      </c>
      <c r="F11" t="s">
        <v>19</v>
      </c>
      <c r="G11" t="s">
        <v>25</v>
      </c>
      <c r="H11" t="s">
        <v>15</v>
      </c>
      <c r="I11">
        <v>1</v>
      </c>
      <c r="J11" t="s">
        <v>16</v>
      </c>
      <c r="K11" t="s">
        <v>17</v>
      </c>
      <c r="L11">
        <v>40</v>
      </c>
      <c r="M11" t="str">
        <f t="shared" si="0"/>
        <v>Middle Age</v>
      </c>
      <c r="N11" t="s">
        <v>15</v>
      </c>
    </row>
    <row r="12" spans="1:14" x14ac:dyDescent="0.3">
      <c r="A12">
        <v>22173</v>
      </c>
      <c r="B12" t="s">
        <v>50</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50</v>
      </c>
      <c r="C14" t="s">
        <v>36</v>
      </c>
      <c r="D14" s="3">
        <v>170000</v>
      </c>
      <c r="E14">
        <v>5</v>
      </c>
      <c r="F14" t="s">
        <v>19</v>
      </c>
      <c r="G14" t="s">
        <v>21</v>
      </c>
      <c r="H14" t="s">
        <v>15</v>
      </c>
      <c r="I14">
        <v>0</v>
      </c>
      <c r="J14" t="s">
        <v>16</v>
      </c>
      <c r="K14" t="s">
        <v>17</v>
      </c>
      <c r="L14">
        <v>55</v>
      </c>
      <c r="M14" t="str">
        <f t="shared" si="0"/>
        <v>Middle Age</v>
      </c>
      <c r="N14" t="s">
        <v>18</v>
      </c>
    </row>
    <row r="15" spans="1:14" x14ac:dyDescent="0.3">
      <c r="A15">
        <v>25323</v>
      </c>
      <c r="B15" t="s">
        <v>50</v>
      </c>
      <c r="C15" t="s">
        <v>36</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3">
      <c r="A19">
        <v>12610</v>
      </c>
      <c r="B19" t="s">
        <v>50</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36</v>
      </c>
      <c r="D21" s="3">
        <v>20000</v>
      </c>
      <c r="E21">
        <v>2</v>
      </c>
      <c r="F21" t="s">
        <v>29</v>
      </c>
      <c r="G21" t="s">
        <v>20</v>
      </c>
      <c r="H21" t="s">
        <v>15</v>
      </c>
      <c r="I21">
        <v>2</v>
      </c>
      <c r="J21" t="s">
        <v>23</v>
      </c>
      <c r="K21" t="s">
        <v>24</v>
      </c>
      <c r="L21">
        <v>55</v>
      </c>
      <c r="M21" t="str">
        <f t="shared" si="0"/>
        <v>Middle Age</v>
      </c>
      <c r="N21" t="s">
        <v>15</v>
      </c>
    </row>
    <row r="22" spans="1:14" x14ac:dyDescent="0.3">
      <c r="A22">
        <v>25598</v>
      </c>
      <c r="B22" t="s">
        <v>50</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3">
      <c r="A25">
        <v>26412</v>
      </c>
      <c r="B25" t="s">
        <v>50</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36</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50</v>
      </c>
      <c r="C30" t="s">
        <v>36</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50</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50</v>
      </c>
      <c r="C33" t="s">
        <v>36</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50</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36</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50</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50</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50</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50</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50</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50</v>
      </c>
      <c r="C50" t="s">
        <v>36</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36</v>
      </c>
      <c r="D53" s="3">
        <v>80000</v>
      </c>
      <c r="E53">
        <v>0</v>
      </c>
      <c r="F53" t="s">
        <v>13</v>
      </c>
      <c r="G53" t="s">
        <v>21</v>
      </c>
      <c r="H53" t="s">
        <v>18</v>
      </c>
      <c r="I53">
        <v>4</v>
      </c>
      <c r="J53" t="s">
        <v>45</v>
      </c>
      <c r="K53" t="s">
        <v>24</v>
      </c>
      <c r="L53">
        <v>35</v>
      </c>
      <c r="M53" t="str">
        <f t="shared" si="0"/>
        <v>Middle Age</v>
      </c>
      <c r="N53" t="s">
        <v>18</v>
      </c>
    </row>
    <row r="54" spans="1:14" x14ac:dyDescent="0.3">
      <c r="A54">
        <v>12558</v>
      </c>
      <c r="B54" t="s">
        <v>50</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50</v>
      </c>
      <c r="C57" t="s">
        <v>36</v>
      </c>
      <c r="D57" s="3">
        <v>80000</v>
      </c>
      <c r="E57">
        <v>4</v>
      </c>
      <c r="F57" t="s">
        <v>27</v>
      </c>
      <c r="G57" t="s">
        <v>21</v>
      </c>
      <c r="H57" t="s">
        <v>15</v>
      </c>
      <c r="I57">
        <v>2</v>
      </c>
      <c r="J57" t="s">
        <v>45</v>
      </c>
      <c r="K57" t="s">
        <v>17</v>
      </c>
      <c r="L57">
        <v>54</v>
      </c>
      <c r="M57" t="str">
        <f t="shared" si="0"/>
        <v>Middle Age</v>
      </c>
      <c r="N57" t="s">
        <v>18</v>
      </c>
    </row>
    <row r="58" spans="1:14" x14ac:dyDescent="0.3">
      <c r="A58">
        <v>12808</v>
      </c>
      <c r="B58" t="s">
        <v>50</v>
      </c>
      <c r="C58" t="s">
        <v>36</v>
      </c>
      <c r="D58" s="3">
        <v>40000</v>
      </c>
      <c r="E58">
        <v>0</v>
      </c>
      <c r="F58" t="s">
        <v>13</v>
      </c>
      <c r="G58" t="s">
        <v>20</v>
      </c>
      <c r="H58" t="s">
        <v>15</v>
      </c>
      <c r="I58">
        <v>0</v>
      </c>
      <c r="J58" t="s">
        <v>16</v>
      </c>
      <c r="K58" t="s">
        <v>17</v>
      </c>
      <c r="L58">
        <v>38</v>
      </c>
      <c r="M58" t="str">
        <f t="shared" si="0"/>
        <v>Middle Age</v>
      </c>
      <c r="N58" t="s">
        <v>15</v>
      </c>
    </row>
    <row r="59" spans="1:14" x14ac:dyDescent="0.3">
      <c r="A59">
        <v>20567</v>
      </c>
      <c r="B59" t="s">
        <v>50</v>
      </c>
      <c r="C59" t="s">
        <v>36</v>
      </c>
      <c r="D59" s="3">
        <v>130000</v>
      </c>
      <c r="E59">
        <v>4</v>
      </c>
      <c r="F59" t="s">
        <v>19</v>
      </c>
      <c r="G59" t="s">
        <v>21</v>
      </c>
      <c r="H59" t="s">
        <v>18</v>
      </c>
      <c r="I59">
        <v>4</v>
      </c>
      <c r="J59" t="s">
        <v>23</v>
      </c>
      <c r="K59" t="s">
        <v>17</v>
      </c>
      <c r="L59">
        <v>61</v>
      </c>
      <c r="M59" t="str">
        <f t="shared" si="0"/>
        <v>Old</v>
      </c>
      <c r="N59" t="s">
        <v>15</v>
      </c>
    </row>
    <row r="60" spans="1:14" x14ac:dyDescent="0.3">
      <c r="A60">
        <v>25502</v>
      </c>
      <c r="B60" t="s">
        <v>50</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50</v>
      </c>
      <c r="C61" t="s">
        <v>36</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50</v>
      </c>
      <c r="C64" t="s">
        <v>36</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36</v>
      </c>
      <c r="D65" s="3">
        <v>60000</v>
      </c>
      <c r="E65">
        <v>4</v>
      </c>
      <c r="F65" t="s">
        <v>13</v>
      </c>
      <c r="G65" t="s">
        <v>21</v>
      </c>
      <c r="H65" t="s">
        <v>15</v>
      </c>
      <c r="I65">
        <v>3</v>
      </c>
      <c r="J65" t="s">
        <v>45</v>
      </c>
      <c r="K65" t="s">
        <v>24</v>
      </c>
      <c r="L65">
        <v>41</v>
      </c>
      <c r="M65" t="str">
        <f t="shared" si="0"/>
        <v>Middle Age</v>
      </c>
      <c r="N65" t="s">
        <v>18</v>
      </c>
    </row>
    <row r="66" spans="1:14" x14ac:dyDescent="0.3">
      <c r="A66">
        <v>14927</v>
      </c>
      <c r="B66" t="s">
        <v>50</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36</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50</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50</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50</v>
      </c>
      <c r="C72" t="s">
        <v>36</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50</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50</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50</v>
      </c>
      <c r="C79" t="s">
        <v>36</v>
      </c>
      <c r="D79" s="3">
        <v>80000</v>
      </c>
      <c r="E79">
        <v>0</v>
      </c>
      <c r="F79" t="s">
        <v>13</v>
      </c>
      <c r="G79" t="s">
        <v>21</v>
      </c>
      <c r="H79" t="s">
        <v>15</v>
      </c>
      <c r="I79">
        <v>2</v>
      </c>
      <c r="J79" t="s">
        <v>45</v>
      </c>
      <c r="K79" t="s">
        <v>24</v>
      </c>
      <c r="L79">
        <v>29</v>
      </c>
      <c r="M79" t="str">
        <f t="shared" si="1"/>
        <v>Adolescent</v>
      </c>
      <c r="N79" t="s">
        <v>15</v>
      </c>
    </row>
    <row r="80" spans="1:14" x14ac:dyDescent="0.3">
      <c r="A80">
        <v>15752</v>
      </c>
      <c r="B80" t="s">
        <v>50</v>
      </c>
      <c r="C80" t="s">
        <v>36</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3">
      <c r="A82">
        <v>20828</v>
      </c>
      <c r="B82" t="s">
        <v>50</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50</v>
      </c>
      <c r="C84" t="s">
        <v>36</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36</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36</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3">
      <c r="A89">
        <v>19608</v>
      </c>
      <c r="B89" t="s">
        <v>50</v>
      </c>
      <c r="C89" t="s">
        <v>36</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36</v>
      </c>
      <c r="D90" s="3">
        <v>30000</v>
      </c>
      <c r="E90">
        <v>0</v>
      </c>
      <c r="F90" t="s">
        <v>19</v>
      </c>
      <c r="G90" t="s">
        <v>20</v>
      </c>
      <c r="H90" t="s">
        <v>18</v>
      </c>
      <c r="I90">
        <v>1</v>
      </c>
      <c r="J90" t="s">
        <v>22</v>
      </c>
      <c r="K90" t="s">
        <v>17</v>
      </c>
      <c r="L90">
        <v>29</v>
      </c>
      <c r="M90" t="str">
        <f t="shared" si="1"/>
        <v>Adolescent</v>
      </c>
      <c r="N90" t="s">
        <v>18</v>
      </c>
    </row>
    <row r="91" spans="1:14" x14ac:dyDescent="0.3">
      <c r="A91">
        <v>25458</v>
      </c>
      <c r="B91" t="s">
        <v>50</v>
      </c>
      <c r="C91" t="s">
        <v>36</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36</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50</v>
      </c>
      <c r="C98" t="s">
        <v>36</v>
      </c>
      <c r="D98" s="3">
        <v>30000</v>
      </c>
      <c r="E98">
        <v>1</v>
      </c>
      <c r="F98" t="s">
        <v>19</v>
      </c>
      <c r="G98" t="s">
        <v>20</v>
      </c>
      <c r="H98" t="s">
        <v>15</v>
      </c>
      <c r="I98">
        <v>1</v>
      </c>
      <c r="J98" t="s">
        <v>16</v>
      </c>
      <c r="K98" t="s">
        <v>17</v>
      </c>
      <c r="L98">
        <v>43</v>
      </c>
      <c r="M98" t="str">
        <f t="shared" si="1"/>
        <v>Middle Age</v>
      </c>
      <c r="N98" t="s">
        <v>18</v>
      </c>
    </row>
    <row r="99" spans="1:14" x14ac:dyDescent="0.3">
      <c r="A99">
        <v>23940</v>
      </c>
      <c r="B99" t="s">
        <v>50</v>
      </c>
      <c r="C99" t="s">
        <v>36</v>
      </c>
      <c r="D99" s="3">
        <v>40000</v>
      </c>
      <c r="E99">
        <v>1</v>
      </c>
      <c r="F99" t="s">
        <v>13</v>
      </c>
      <c r="G99" t="s">
        <v>14</v>
      </c>
      <c r="H99" t="s">
        <v>15</v>
      </c>
      <c r="I99">
        <v>1</v>
      </c>
      <c r="J99" t="s">
        <v>16</v>
      </c>
      <c r="K99" t="s">
        <v>17</v>
      </c>
      <c r="L99">
        <v>44</v>
      </c>
      <c r="M99" t="str">
        <f t="shared" si="1"/>
        <v>Middle Age</v>
      </c>
      <c r="N99" t="s">
        <v>15</v>
      </c>
    </row>
    <row r="100" spans="1:14" x14ac:dyDescent="0.3">
      <c r="A100">
        <v>19441</v>
      </c>
      <c r="B100" t="s">
        <v>50</v>
      </c>
      <c r="C100" t="s">
        <v>36</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50</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50</v>
      </c>
      <c r="C104" t="s">
        <v>36</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50</v>
      </c>
      <c r="C108" t="s">
        <v>36</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50</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50</v>
      </c>
      <c r="C116" t="s">
        <v>36</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36</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50</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50</v>
      </c>
      <c r="C120" t="s">
        <v>36</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50</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50</v>
      </c>
      <c r="C123" t="s">
        <v>36</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50</v>
      </c>
      <c r="C127" t="s">
        <v>36</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50</v>
      </c>
      <c r="C129" t="s">
        <v>36</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36</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50</v>
      </c>
      <c r="C132" t="s">
        <v>36</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50</v>
      </c>
      <c r="C133" t="s">
        <v>36</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50</v>
      </c>
      <c r="C134" t="s">
        <v>36</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50</v>
      </c>
      <c r="C137" t="s">
        <v>36</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50</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50</v>
      </c>
      <c r="C144" t="s">
        <v>36</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50</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50</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50</v>
      </c>
      <c r="C148" t="s">
        <v>36</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50</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50</v>
      </c>
      <c r="C150" t="s">
        <v>36</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36</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50</v>
      </c>
      <c r="C152" t="s">
        <v>36</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50</v>
      </c>
      <c r="C155" t="s">
        <v>36</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50</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50</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50</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50</v>
      </c>
      <c r="C166" t="s">
        <v>36</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50</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36</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50</v>
      </c>
      <c r="C171" t="s">
        <v>36</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50</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50</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50</v>
      </c>
      <c r="C174" t="s">
        <v>36</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50</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50</v>
      </c>
      <c r="C180" t="s">
        <v>36</v>
      </c>
      <c r="D180" s="3">
        <v>160000</v>
      </c>
      <c r="E180">
        <v>4</v>
      </c>
      <c r="F180" t="s">
        <v>19</v>
      </c>
      <c r="G180" t="s">
        <v>21</v>
      </c>
      <c r="H180" t="s">
        <v>18</v>
      </c>
      <c r="I180">
        <v>2</v>
      </c>
      <c r="J180" t="s">
        <v>45</v>
      </c>
      <c r="K180" t="s">
        <v>17</v>
      </c>
      <c r="L180">
        <v>55</v>
      </c>
      <c r="M180" t="str">
        <f t="shared" si="2"/>
        <v>Middle Age</v>
      </c>
      <c r="N180" t="s">
        <v>15</v>
      </c>
    </row>
    <row r="181" spans="1:14" x14ac:dyDescent="0.3">
      <c r="A181">
        <v>12212</v>
      </c>
      <c r="B181" t="s">
        <v>50</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50</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50</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50</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50</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50</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36</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50</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50</v>
      </c>
      <c r="C191" t="s">
        <v>36</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50</v>
      </c>
      <c r="C192" t="s">
        <v>36</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50</v>
      </c>
      <c r="C195" t="s">
        <v>38</v>
      </c>
      <c r="D195" s="3">
        <v>70000</v>
      </c>
      <c r="E195">
        <v>5</v>
      </c>
      <c r="F195" t="s">
        <v>13</v>
      </c>
      <c r="G195" t="s">
        <v>21</v>
      </c>
      <c r="H195" t="s">
        <v>15</v>
      </c>
      <c r="I195">
        <v>4</v>
      </c>
      <c r="J195" t="s">
        <v>45</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36</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50</v>
      </c>
      <c r="C199" t="s">
        <v>36</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36</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50</v>
      </c>
      <c r="C203" t="s">
        <v>36</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50</v>
      </c>
      <c r="C207" t="s">
        <v>36</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36</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50</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50</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36</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50</v>
      </c>
      <c r="C216" t="s">
        <v>36</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50</v>
      </c>
      <c r="C218" t="s">
        <v>36</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36</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50</v>
      </c>
      <c r="C222" t="s">
        <v>36</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50</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50</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50</v>
      </c>
      <c r="C227" t="s">
        <v>36</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50</v>
      </c>
      <c r="C229" t="s">
        <v>36</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50</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36</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50</v>
      </c>
      <c r="C232" t="s">
        <v>36</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50</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50</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50</v>
      </c>
      <c r="C235" t="s">
        <v>36</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36</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50</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50</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50</v>
      </c>
      <c r="C240" t="s">
        <v>36</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50</v>
      </c>
      <c r="C242" t="s">
        <v>36</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50</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50</v>
      </c>
      <c r="C247" t="s">
        <v>36</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50</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50</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50</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50</v>
      </c>
      <c r="C252" t="s">
        <v>36</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50</v>
      </c>
      <c r="C253" t="s">
        <v>36</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50</v>
      </c>
      <c r="C255" t="s">
        <v>36</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50</v>
      </c>
      <c r="C258" t="s">
        <v>36</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50</v>
      </c>
      <c r="C261" t="s">
        <v>36</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50</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50</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50</v>
      </c>
      <c r="C266" t="s">
        <v>36</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50</v>
      </c>
      <c r="C270" t="s">
        <v>36</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50</v>
      </c>
      <c r="C274" t="s">
        <v>36</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50</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50</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50</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50</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50</v>
      </c>
      <c r="C280" t="s">
        <v>36</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50</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50</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50</v>
      </c>
      <c r="C290" t="s">
        <v>36</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50</v>
      </c>
      <c r="C291" t="s">
        <v>36</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50</v>
      </c>
      <c r="C293" t="s">
        <v>36</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50</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50</v>
      </c>
      <c r="C299" t="s">
        <v>36</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50</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50</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50</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50</v>
      </c>
      <c r="C306" t="s">
        <v>36</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50</v>
      </c>
      <c r="C308" t="s">
        <v>36</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50</v>
      </c>
      <c r="C309" t="s">
        <v>36</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50</v>
      </c>
      <c r="C310" t="s">
        <v>36</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50</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50</v>
      </c>
      <c r="C312" t="s">
        <v>36</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50</v>
      </c>
      <c r="C313" t="s">
        <v>36</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50</v>
      </c>
      <c r="C314" t="s">
        <v>36</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50</v>
      </c>
      <c r="C316" t="s">
        <v>36</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50</v>
      </c>
      <c r="C318" t="s">
        <v>36</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50</v>
      </c>
      <c r="C319" t="s">
        <v>36</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50</v>
      </c>
      <c r="C320" t="s">
        <v>36</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50</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50</v>
      </c>
      <c r="C322" t="s">
        <v>36</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50</v>
      </c>
      <c r="C326" t="s">
        <v>36</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50</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50</v>
      </c>
      <c r="C329" t="s">
        <v>36</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50</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50</v>
      </c>
      <c r="C333" t="s">
        <v>36</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50</v>
      </c>
      <c r="C335" t="s">
        <v>36</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50</v>
      </c>
      <c r="C336" t="s">
        <v>36</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50</v>
      </c>
      <c r="C337" t="s">
        <v>36</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50</v>
      </c>
      <c r="C339" t="s">
        <v>36</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50</v>
      </c>
      <c r="C341" t="s">
        <v>36</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36</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50</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50</v>
      </c>
      <c r="C348" t="s">
        <v>36</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50</v>
      </c>
      <c r="C350" t="s">
        <v>36</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36</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50</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36</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50</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50</v>
      </c>
      <c r="C360" t="s">
        <v>36</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50</v>
      </c>
      <c r="C361" t="s">
        <v>36</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50</v>
      </c>
      <c r="C364" t="s">
        <v>36</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50</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50</v>
      </c>
      <c r="C368" t="s">
        <v>36</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50</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50</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50</v>
      </c>
      <c r="C374" t="s">
        <v>36</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36</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50</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50</v>
      </c>
      <c r="C378" t="s">
        <v>36</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50</v>
      </c>
      <c r="C379" t="s">
        <v>36</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50</v>
      </c>
      <c r="C380" t="s">
        <v>36</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50</v>
      </c>
      <c r="C381" t="s">
        <v>36</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36</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50</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50</v>
      </c>
      <c r="C384" t="s">
        <v>36</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50</v>
      </c>
      <c r="C385" t="s">
        <v>36</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36</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50</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50</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50</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50</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50</v>
      </c>
      <c r="C397" t="s">
        <v>36</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50</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50</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50</v>
      </c>
      <c r="C404" t="s">
        <v>36</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50</v>
      </c>
      <c r="C405" t="s">
        <v>36</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50</v>
      </c>
      <c r="C406" t="s">
        <v>36</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50</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50</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50</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50</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50</v>
      </c>
      <c r="C413" t="s">
        <v>36</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50</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50</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50</v>
      </c>
      <c r="C420" t="s">
        <v>36</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50</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50</v>
      </c>
      <c r="C423" t="s">
        <v>36</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36</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50</v>
      </c>
      <c r="C427" t="s">
        <v>36</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36</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50</v>
      </c>
      <c r="C430" t="s">
        <v>36</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36</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50</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50</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50</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50</v>
      </c>
      <c r="C441" t="s">
        <v>36</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36</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50</v>
      </c>
      <c r="C443" t="s">
        <v>36</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50</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50</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50</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50</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50</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50</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50</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50</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50</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50</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50</v>
      </c>
      <c r="C460" t="s">
        <v>36</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50</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50</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50</v>
      </c>
      <c r="C467" t="s">
        <v>36</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50</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50</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36</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50</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50</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50</v>
      </c>
      <c r="C477" t="s">
        <v>36</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50</v>
      </c>
      <c r="C479" t="s">
        <v>36</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50</v>
      </c>
      <c r="C480" t="s">
        <v>36</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50</v>
      </c>
      <c r="C481" t="s">
        <v>36</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50</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50</v>
      </c>
      <c r="C485" t="s">
        <v>36</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50</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50</v>
      </c>
      <c r="C489" t="s">
        <v>36</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50</v>
      </c>
      <c r="C491" t="s">
        <v>36</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50</v>
      </c>
      <c r="C492" t="s">
        <v>36</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50</v>
      </c>
      <c r="C493" t="s">
        <v>36</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36</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50</v>
      </c>
      <c r="C496" t="s">
        <v>36</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50</v>
      </c>
      <c r="C497" t="s">
        <v>36</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50</v>
      </c>
      <c r="C500" t="s">
        <v>36</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50</v>
      </c>
      <c r="C502" t="s">
        <v>36</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50</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50</v>
      </c>
      <c r="C504" t="s">
        <v>36</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50</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50</v>
      </c>
      <c r="C506" t="s">
        <v>36</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50</v>
      </c>
      <c r="C507" t="s">
        <v>36</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50</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50</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50</v>
      </c>
      <c r="C510" t="s">
        <v>36</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50</v>
      </c>
      <c r="C511" t="s">
        <v>36</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50</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IF(L515&gt;55,"Old",IF(L515&gt;=31,"Middle Age",IF(L515&lt;31,"Adolescent","Invalid")))</f>
        <v>Old</v>
      </c>
      <c r="N515" t="s">
        <v>15</v>
      </c>
    </row>
    <row r="516" spans="1:14" x14ac:dyDescent="0.3">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50</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50</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50</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50</v>
      </c>
      <c r="C521" t="s">
        <v>36</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36</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50</v>
      </c>
      <c r="C525" t="s">
        <v>36</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36</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50</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50</v>
      </c>
      <c r="C529" t="s">
        <v>36</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50</v>
      </c>
      <c r="C531" t="s">
        <v>36</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50</v>
      </c>
      <c r="C532" t="s">
        <v>36</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36</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50</v>
      </c>
      <c r="C535" t="s">
        <v>36</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50</v>
      </c>
      <c r="C536" t="s">
        <v>36</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50</v>
      </c>
      <c r="C537" t="s">
        <v>36</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50</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50</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50</v>
      </c>
      <c r="C543" t="s">
        <v>36</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50</v>
      </c>
      <c r="C544" t="s">
        <v>36</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50</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36</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50</v>
      </c>
      <c r="C548" t="s">
        <v>36</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50</v>
      </c>
      <c r="C549" t="s">
        <v>36</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50</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50</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36</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50</v>
      </c>
      <c r="C555" t="s">
        <v>36</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50</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50</v>
      </c>
      <c r="C558" t="s">
        <v>36</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50</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50</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50</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50</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50</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36</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50</v>
      </c>
      <c r="C567" t="s">
        <v>36</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50</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50</v>
      </c>
      <c r="C569" t="s">
        <v>36</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50</v>
      </c>
      <c r="C570" t="s">
        <v>36</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36</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50</v>
      </c>
      <c r="C572" t="s">
        <v>36</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50</v>
      </c>
      <c r="C573" t="s">
        <v>36</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36</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50</v>
      </c>
      <c r="C575" t="s">
        <v>36</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36</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50</v>
      </c>
      <c r="C579" t="s">
        <v>36</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50</v>
      </c>
      <c r="C580" t="s">
        <v>36</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50</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50</v>
      </c>
      <c r="C583" t="s">
        <v>36</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50</v>
      </c>
      <c r="C584" t="s">
        <v>36</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50</v>
      </c>
      <c r="C585" t="s">
        <v>36</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50</v>
      </c>
      <c r="C588" t="s">
        <v>36</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50</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50</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36</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50</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50</v>
      </c>
      <c r="C593" t="s">
        <v>36</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50</v>
      </c>
      <c r="C596" t="s">
        <v>36</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50</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50</v>
      </c>
      <c r="C600" t="s">
        <v>36</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50</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50</v>
      </c>
      <c r="C602" t="s">
        <v>36</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50</v>
      </c>
      <c r="C605" t="s">
        <v>36</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50</v>
      </c>
      <c r="C606" t="s">
        <v>36</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50</v>
      </c>
      <c r="C610" t="s">
        <v>36</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50</v>
      </c>
      <c r="C611" t="s">
        <v>36</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50</v>
      </c>
      <c r="C612" t="s">
        <v>36</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50</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50</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50</v>
      </c>
      <c r="C619" t="s">
        <v>36</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50</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50</v>
      </c>
      <c r="C623" t="s">
        <v>36</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50</v>
      </c>
      <c r="C624" t="s">
        <v>36</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50</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50</v>
      </c>
      <c r="C627" t="s">
        <v>36</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50</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50</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50</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50</v>
      </c>
      <c r="C632" t="s">
        <v>36</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50</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50</v>
      </c>
      <c r="C636" t="s">
        <v>36</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36</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50</v>
      </c>
      <c r="C641" t="s">
        <v>36</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50</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50</v>
      </c>
      <c r="C643" t="s">
        <v>36</v>
      </c>
      <c r="D643" s="3">
        <v>50000</v>
      </c>
      <c r="E643">
        <v>4</v>
      </c>
      <c r="F643" t="s">
        <v>13</v>
      </c>
      <c r="G643" t="s">
        <v>28</v>
      </c>
      <c r="H643" t="s">
        <v>15</v>
      </c>
      <c r="I643">
        <v>2</v>
      </c>
      <c r="J643" t="s">
        <v>45</v>
      </c>
      <c r="K643" t="s">
        <v>32</v>
      </c>
      <c r="L643">
        <v>64</v>
      </c>
      <c r="M643" t="str">
        <f t="shared" ref="M643:M706" si="10">IF(L643&gt;55,"Old",IF(L643&gt;=31,"Middle Age",IF(L643&lt;31,"Adolescent","Invalid")))</f>
        <v>Old</v>
      </c>
      <c r="N643" t="s">
        <v>18</v>
      </c>
    </row>
    <row r="644" spans="1:14" x14ac:dyDescent="0.3">
      <c r="A644">
        <v>21741</v>
      </c>
      <c r="B644" t="s">
        <v>50</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50</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50</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50</v>
      </c>
      <c r="C654" t="s">
        <v>36</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50</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50</v>
      </c>
      <c r="C658" t="s">
        <v>36</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50</v>
      </c>
      <c r="C659" t="s">
        <v>36</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50</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36</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50</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50</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50</v>
      </c>
      <c r="C667" t="s">
        <v>36</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50</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50</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50</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50</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50</v>
      </c>
      <c r="C672" t="s">
        <v>36</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50</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50</v>
      </c>
      <c r="C677" t="s">
        <v>36</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50</v>
      </c>
      <c r="C678" t="s">
        <v>36</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50</v>
      </c>
      <c r="C679" t="s">
        <v>36</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50</v>
      </c>
      <c r="C680" t="s">
        <v>36</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50</v>
      </c>
      <c r="C681" t="s">
        <v>36</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50</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50</v>
      </c>
      <c r="C684" t="s">
        <v>36</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50</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50</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36</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36</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50</v>
      </c>
      <c r="C691" t="s">
        <v>36</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50</v>
      </c>
      <c r="C693" t="s">
        <v>36</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50</v>
      </c>
      <c r="C694" t="s">
        <v>36</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50</v>
      </c>
      <c r="C697" t="s">
        <v>36</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36</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50</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50</v>
      </c>
      <c r="C700" t="s">
        <v>36</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50</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36</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50</v>
      </c>
      <c r="C704" t="s">
        <v>36</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50</v>
      </c>
      <c r="C707" t="s">
        <v>38</v>
      </c>
      <c r="D707" s="3">
        <v>70000</v>
      </c>
      <c r="E707">
        <v>4</v>
      </c>
      <c r="F707" t="s">
        <v>13</v>
      </c>
      <c r="G707" t="s">
        <v>28</v>
      </c>
      <c r="H707" t="s">
        <v>15</v>
      </c>
      <c r="I707">
        <v>1</v>
      </c>
      <c r="J707" t="s">
        <v>45</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50</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50</v>
      </c>
      <c r="C710" t="s">
        <v>36</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50</v>
      </c>
      <c r="C712" t="s">
        <v>36</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50</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50</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50</v>
      </c>
      <c r="C716" t="s">
        <v>36</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50</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50</v>
      </c>
      <c r="C720" t="s">
        <v>36</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50</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50</v>
      </c>
      <c r="C726" t="s">
        <v>36</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50</v>
      </c>
      <c r="C727" t="s">
        <v>36</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50</v>
      </c>
      <c r="C728" t="s">
        <v>36</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50</v>
      </c>
      <c r="C729" t="s">
        <v>36</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50</v>
      </c>
      <c r="C730" t="s">
        <v>36</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50</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50</v>
      </c>
      <c r="C733" t="s">
        <v>36</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50</v>
      </c>
      <c r="C738" t="s">
        <v>36</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50</v>
      </c>
      <c r="C739" t="s">
        <v>36</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50</v>
      </c>
      <c r="C741" t="s">
        <v>38</v>
      </c>
      <c r="D741" s="3">
        <v>60000</v>
      </c>
      <c r="E741">
        <v>2</v>
      </c>
      <c r="F741" t="s">
        <v>19</v>
      </c>
      <c r="G741" t="s">
        <v>21</v>
      </c>
      <c r="H741" t="s">
        <v>15</v>
      </c>
      <c r="I741">
        <v>1</v>
      </c>
      <c r="J741" t="s">
        <v>45</v>
      </c>
      <c r="K741" t="s">
        <v>32</v>
      </c>
      <c r="L741">
        <v>55</v>
      </c>
      <c r="M741" t="str">
        <f t="shared" si="11"/>
        <v>Middle Age</v>
      </c>
      <c r="N741" t="s">
        <v>18</v>
      </c>
    </row>
    <row r="742" spans="1:14" x14ac:dyDescent="0.3">
      <c r="A742">
        <v>17657</v>
      </c>
      <c r="B742" t="s">
        <v>50</v>
      </c>
      <c r="C742" t="s">
        <v>36</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50</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36</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50</v>
      </c>
      <c r="C745" t="s">
        <v>36</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50</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50</v>
      </c>
      <c r="C747" t="s">
        <v>36</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50</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50</v>
      </c>
      <c r="C750" t="s">
        <v>36</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50</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50</v>
      </c>
      <c r="C752" t="s">
        <v>36</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50</v>
      </c>
      <c r="C753" t="s">
        <v>36</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50</v>
      </c>
      <c r="C754" t="s">
        <v>36</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50</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50</v>
      </c>
      <c r="C757" t="s">
        <v>36</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50</v>
      </c>
      <c r="C758" t="s">
        <v>36</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50</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50</v>
      </c>
      <c r="C765" t="s">
        <v>36</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50</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50</v>
      </c>
      <c r="C768" t="s">
        <v>36</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50</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50</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50</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50</v>
      </c>
      <c r="C772" t="s">
        <v>36</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50</v>
      </c>
      <c r="C773" t="s">
        <v>36</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50</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50</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50</v>
      </c>
      <c r="C777" t="s">
        <v>36</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36</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50</v>
      </c>
      <c r="C780" t="s">
        <v>36</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50</v>
      </c>
      <c r="C781" t="s">
        <v>36</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50</v>
      </c>
      <c r="C782" t="s">
        <v>38</v>
      </c>
      <c r="D782" s="3">
        <v>60000</v>
      </c>
      <c r="E782">
        <v>2</v>
      </c>
      <c r="F782" t="s">
        <v>19</v>
      </c>
      <c r="G782" t="s">
        <v>21</v>
      </c>
      <c r="H782" t="s">
        <v>15</v>
      </c>
      <c r="I782">
        <v>1</v>
      </c>
      <c r="J782" t="s">
        <v>45</v>
      </c>
      <c r="K782" t="s">
        <v>32</v>
      </c>
      <c r="L782">
        <v>55</v>
      </c>
      <c r="M782" t="str">
        <f t="shared" si="12"/>
        <v>Middle Age</v>
      </c>
      <c r="N782" t="s">
        <v>18</v>
      </c>
    </row>
    <row r="783" spans="1:14" x14ac:dyDescent="0.3">
      <c r="A783">
        <v>19660</v>
      </c>
      <c r="B783" t="s">
        <v>50</v>
      </c>
      <c r="C783" t="s">
        <v>36</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50</v>
      </c>
      <c r="C785" t="s">
        <v>36</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50</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50</v>
      </c>
      <c r="C791" t="s">
        <v>36</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50</v>
      </c>
      <c r="C793" t="s">
        <v>36</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50</v>
      </c>
      <c r="C795" t="s">
        <v>36</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50</v>
      </c>
      <c r="C796" t="s">
        <v>36</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50</v>
      </c>
      <c r="C798" t="s">
        <v>36</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36</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50</v>
      </c>
      <c r="C803" t="s">
        <v>36</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50</v>
      </c>
      <c r="C804" t="s">
        <v>36</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50</v>
      </c>
      <c r="C805" t="s">
        <v>36</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50</v>
      </c>
      <c r="C806" t="s">
        <v>36</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50</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50</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50</v>
      </c>
      <c r="C813" t="s">
        <v>36</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50</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50</v>
      </c>
      <c r="C817" t="s">
        <v>36</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50</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50</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50</v>
      </c>
      <c r="C820" t="s">
        <v>36</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50</v>
      </c>
      <c r="C823" t="s">
        <v>36</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50</v>
      </c>
      <c r="C824" t="s">
        <v>36</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50</v>
      </c>
      <c r="C827" t="s">
        <v>36</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50</v>
      </c>
      <c r="C828" t="s">
        <v>36</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50</v>
      </c>
      <c r="C832" t="s">
        <v>36</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50</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50</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50</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50</v>
      </c>
      <c r="C839" t="s">
        <v>36</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50</v>
      </c>
      <c r="C842" t="s">
        <v>36</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50</v>
      </c>
      <c r="C843" t="s">
        <v>36</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50</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50</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50</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50</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50</v>
      </c>
      <c r="C853" t="s">
        <v>36</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50</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36</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50</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50</v>
      </c>
      <c r="C860" t="s">
        <v>36</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50</v>
      </c>
      <c r="C861" t="s">
        <v>36</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50</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50</v>
      </c>
      <c r="C864" t="s">
        <v>36</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50</v>
      </c>
      <c r="C868" t="s">
        <v>36</v>
      </c>
      <c r="D868" s="3">
        <v>60000</v>
      </c>
      <c r="E868">
        <v>2</v>
      </c>
      <c r="F868" t="s">
        <v>27</v>
      </c>
      <c r="G868" t="s">
        <v>21</v>
      </c>
      <c r="H868" t="s">
        <v>15</v>
      </c>
      <c r="I868">
        <v>2</v>
      </c>
      <c r="J868" t="s">
        <v>45</v>
      </c>
      <c r="K868" t="s">
        <v>32</v>
      </c>
      <c r="L868">
        <v>55</v>
      </c>
      <c r="M868" t="str">
        <f t="shared" si="13"/>
        <v>Middle Age</v>
      </c>
      <c r="N868" t="s">
        <v>18</v>
      </c>
    </row>
    <row r="869" spans="1:14" x14ac:dyDescent="0.3">
      <c r="A869">
        <v>26693</v>
      </c>
      <c r="B869" t="s">
        <v>50</v>
      </c>
      <c r="C869" t="s">
        <v>36</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36</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50</v>
      </c>
      <c r="C872" t="s">
        <v>36</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50</v>
      </c>
      <c r="C873" t="s">
        <v>36</v>
      </c>
      <c r="D873" s="3">
        <v>60000</v>
      </c>
      <c r="E873">
        <v>2</v>
      </c>
      <c r="F873" t="s">
        <v>27</v>
      </c>
      <c r="G873" t="s">
        <v>21</v>
      </c>
      <c r="H873" t="s">
        <v>15</v>
      </c>
      <c r="I873">
        <v>2</v>
      </c>
      <c r="J873" t="s">
        <v>45</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50</v>
      </c>
      <c r="C875" t="s">
        <v>36</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50</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36</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50</v>
      </c>
      <c r="C879" t="s">
        <v>36</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50</v>
      </c>
      <c r="C880" t="s">
        <v>36</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50</v>
      </c>
      <c r="C881" t="s">
        <v>36</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50</v>
      </c>
      <c r="C882" t="s">
        <v>36</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50</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50</v>
      </c>
      <c r="C884" t="s">
        <v>36</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50</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50</v>
      </c>
      <c r="C886" t="s">
        <v>36</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50</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50</v>
      </c>
      <c r="C888" t="s">
        <v>36</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50</v>
      </c>
      <c r="C889" t="s">
        <v>36</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50</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50</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50</v>
      </c>
      <c r="C895" t="s">
        <v>36</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50</v>
      </c>
      <c r="C896" t="s">
        <v>36</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50</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50</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50</v>
      </c>
      <c r="C899" t="s">
        <v>36</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36</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50</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50</v>
      </c>
      <c r="C902" t="s">
        <v>36</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50</v>
      </c>
      <c r="C908" t="s">
        <v>36</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50</v>
      </c>
      <c r="C909" t="s">
        <v>36</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50</v>
      </c>
      <c r="C911" t="s">
        <v>36</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50</v>
      </c>
      <c r="C912" t="s">
        <v>36</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50</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50</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50</v>
      </c>
      <c r="C917" t="s">
        <v>36</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50</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50</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50</v>
      </c>
      <c r="C922" t="s">
        <v>36</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50</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50</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50</v>
      </c>
      <c r="C930" t="s">
        <v>36</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50</v>
      </c>
      <c r="C931" t="s">
        <v>36</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50</v>
      </c>
      <c r="C932" t="s">
        <v>36</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50</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36</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50</v>
      </c>
      <c r="C936" t="s">
        <v>36</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50</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50</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50</v>
      </c>
      <c r="C939" t="s">
        <v>36</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50</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50</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50</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50</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50</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50</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50</v>
      </c>
      <c r="C951" t="s">
        <v>36</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50</v>
      </c>
      <c r="C953" t="s">
        <v>36</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50</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50</v>
      </c>
      <c r="C956" t="s">
        <v>36</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50</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50</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50</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50</v>
      </c>
      <c r="C960" t="s">
        <v>36</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50</v>
      </c>
      <c r="C961" t="s">
        <v>36</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50</v>
      </c>
      <c r="C963" t="s">
        <v>38</v>
      </c>
      <c r="D963" s="3">
        <v>120000</v>
      </c>
      <c r="E963">
        <v>2</v>
      </c>
      <c r="F963" t="s">
        <v>13</v>
      </c>
      <c r="G963" t="s">
        <v>28</v>
      </c>
      <c r="H963" t="s">
        <v>15</v>
      </c>
      <c r="I963">
        <v>3</v>
      </c>
      <c r="J963" t="s">
        <v>23</v>
      </c>
      <c r="K963" t="s">
        <v>32</v>
      </c>
      <c r="L963">
        <v>62</v>
      </c>
      <c r="M963" t="str">
        <f t="shared" ref="M963:M1002" si="15">IF(L963&gt;55,"Old",IF(L963&gt;=31,"Middle Age",IF(L963&lt;31,"Adolescent","Invalid")))</f>
        <v>Old</v>
      </c>
      <c r="N963" t="s">
        <v>18</v>
      </c>
    </row>
    <row r="964" spans="1:14" x14ac:dyDescent="0.3">
      <c r="A964">
        <v>16813</v>
      </c>
      <c r="B964" t="s">
        <v>50</v>
      </c>
      <c r="C964" t="s">
        <v>36</v>
      </c>
      <c r="D964" s="3">
        <v>60000</v>
      </c>
      <c r="E964">
        <v>2</v>
      </c>
      <c r="F964" t="s">
        <v>19</v>
      </c>
      <c r="G964" t="s">
        <v>21</v>
      </c>
      <c r="H964" t="s">
        <v>15</v>
      </c>
      <c r="I964">
        <v>2</v>
      </c>
      <c r="J964" t="s">
        <v>45</v>
      </c>
      <c r="K964" t="s">
        <v>32</v>
      </c>
      <c r="L964">
        <v>55</v>
      </c>
      <c r="M964" t="str">
        <f t="shared" si="15"/>
        <v>Middle Age</v>
      </c>
      <c r="N964" t="s">
        <v>18</v>
      </c>
    </row>
    <row r="965" spans="1:14" x14ac:dyDescent="0.3">
      <c r="A965">
        <v>16007</v>
      </c>
      <c r="B965" t="s">
        <v>50</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36</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50</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50</v>
      </c>
      <c r="C969" t="s">
        <v>36</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36</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50</v>
      </c>
      <c r="C971" t="s">
        <v>36</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50</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50</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50</v>
      </c>
      <c r="C975" t="s">
        <v>36</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50</v>
      </c>
      <c r="C976" t="s">
        <v>36</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50</v>
      </c>
      <c r="C977" t="s">
        <v>36</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50</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50</v>
      </c>
      <c r="C980" t="s">
        <v>36</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50</v>
      </c>
      <c r="C983" t="s">
        <v>36</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50</v>
      </c>
      <c r="C985" t="s">
        <v>36</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50</v>
      </c>
      <c r="C986" t="s">
        <v>36</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36</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50</v>
      </c>
      <c r="C990" t="s">
        <v>36</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50</v>
      </c>
      <c r="C991" t="s">
        <v>36</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50</v>
      </c>
      <c r="C994" t="s">
        <v>36</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50</v>
      </c>
      <c r="C996" t="s">
        <v>36</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50</v>
      </c>
      <c r="C997" t="s">
        <v>36</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50</v>
      </c>
      <c r="C999" t="s">
        <v>36</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36</v>
      </c>
      <c r="D1001" s="3">
        <v>60000</v>
      </c>
      <c r="E1001">
        <v>3</v>
      </c>
      <c r="F1001" t="s">
        <v>27</v>
      </c>
      <c r="G1001" t="s">
        <v>21</v>
      </c>
      <c r="H1001" t="s">
        <v>15</v>
      </c>
      <c r="I1001">
        <v>2</v>
      </c>
      <c r="J1001" t="s">
        <v>45</v>
      </c>
      <c r="K1001" t="s">
        <v>32</v>
      </c>
      <c r="L1001">
        <v>53</v>
      </c>
      <c r="M1001" t="str">
        <f t="shared" si="15"/>
        <v>Middle Age</v>
      </c>
      <c r="N1001" t="s">
        <v>15</v>
      </c>
    </row>
    <row r="1002" spans="1:14" x14ac:dyDescent="0.3">
      <c r="M1002" t="str">
        <f t="shared" si="15"/>
        <v>Adolescent</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9C39-EBA6-42DC-AFE9-024B0B833D01}">
  <dimension ref="A1:D63"/>
  <sheetViews>
    <sheetView tabSelected="1" workbookViewId="0">
      <selection activeCell="C1" sqref="C1"/>
    </sheetView>
  </sheetViews>
  <sheetFormatPr defaultRowHeight="14.4" x14ac:dyDescent="0.3"/>
  <cols>
    <col min="1" max="1" width="21.88671875" bestFit="1" customWidth="1"/>
    <col min="2" max="2" width="15.5546875" bestFit="1" customWidth="1"/>
    <col min="3" max="3" width="6" customWidth="1"/>
    <col min="4" max="5" width="10.77734375" bestFit="1" customWidth="1"/>
  </cols>
  <sheetData>
    <row r="1" spans="1:4" x14ac:dyDescent="0.3">
      <c r="A1" s="4" t="s">
        <v>42</v>
      </c>
      <c r="B1" s="4" t="s">
        <v>43</v>
      </c>
    </row>
    <row r="2" spans="1:4" x14ac:dyDescent="0.3">
      <c r="A2" s="4" t="s">
        <v>40</v>
      </c>
      <c r="B2" t="s">
        <v>18</v>
      </c>
      <c r="C2" t="s">
        <v>15</v>
      </c>
      <c r="D2" t="s">
        <v>41</v>
      </c>
    </row>
    <row r="3" spans="1:4" x14ac:dyDescent="0.3">
      <c r="A3" s="5" t="s">
        <v>38</v>
      </c>
      <c r="B3" s="6">
        <v>85000</v>
      </c>
      <c r="C3" s="6">
        <v>68750</v>
      </c>
      <c r="D3" s="6">
        <v>74166.666666666672</v>
      </c>
    </row>
    <row r="4" spans="1:4" x14ac:dyDescent="0.3">
      <c r="A4" s="5" t="s">
        <v>36</v>
      </c>
      <c r="B4" s="6">
        <v>78181.818181818177</v>
      </c>
      <c r="C4" s="6">
        <v>72727.272727272721</v>
      </c>
      <c r="D4" s="6">
        <v>75454.545454545456</v>
      </c>
    </row>
    <row r="5" spans="1:4" x14ac:dyDescent="0.3">
      <c r="A5" s="5" t="s">
        <v>41</v>
      </c>
      <c r="B5" s="6">
        <v>80000</v>
      </c>
      <c r="C5" s="6">
        <v>71052.631578947374</v>
      </c>
      <c r="D5" s="6">
        <v>75000</v>
      </c>
    </row>
    <row r="6" spans="1:4" x14ac:dyDescent="0.3">
      <c r="B6" s="6"/>
      <c r="C6" s="6"/>
      <c r="D6" s="6"/>
    </row>
    <row r="20" spans="1:4" x14ac:dyDescent="0.3">
      <c r="A20" s="4" t="s">
        <v>44</v>
      </c>
      <c r="B20" s="4" t="s">
        <v>43</v>
      </c>
    </row>
    <row r="21" spans="1:4" x14ac:dyDescent="0.3">
      <c r="A21" s="4" t="s">
        <v>40</v>
      </c>
      <c r="B21" t="s">
        <v>18</v>
      </c>
      <c r="C21" t="s">
        <v>15</v>
      </c>
      <c r="D21" t="s">
        <v>41</v>
      </c>
    </row>
    <row r="22" spans="1:4" x14ac:dyDescent="0.3">
      <c r="A22" s="5" t="s">
        <v>16</v>
      </c>
      <c r="B22">
        <v>2</v>
      </c>
      <c r="C22">
        <v>9</v>
      </c>
      <c r="D22">
        <v>11</v>
      </c>
    </row>
    <row r="23" spans="1:4" x14ac:dyDescent="0.3">
      <c r="A23" s="5" t="s">
        <v>26</v>
      </c>
      <c r="B23">
        <v>2</v>
      </c>
      <c r="C23">
        <v>3</v>
      </c>
      <c r="D23">
        <v>5</v>
      </c>
    </row>
    <row r="24" spans="1:4" x14ac:dyDescent="0.3">
      <c r="A24" s="5" t="s">
        <v>22</v>
      </c>
      <c r="B24">
        <v>4</v>
      </c>
      <c r="C24">
        <v>3</v>
      </c>
      <c r="D24">
        <v>7</v>
      </c>
    </row>
    <row r="25" spans="1:4" x14ac:dyDescent="0.3">
      <c r="A25" s="5" t="s">
        <v>23</v>
      </c>
      <c r="B25">
        <v>3</v>
      </c>
      <c r="C25">
        <v>2</v>
      </c>
      <c r="D25">
        <v>5</v>
      </c>
    </row>
    <row r="26" spans="1:4" x14ac:dyDescent="0.3">
      <c r="A26" s="5" t="s">
        <v>45</v>
      </c>
      <c r="B26">
        <v>4</v>
      </c>
      <c r="C26">
        <v>2</v>
      </c>
      <c r="D26">
        <v>6</v>
      </c>
    </row>
    <row r="27" spans="1:4" x14ac:dyDescent="0.3">
      <c r="A27" s="5" t="s">
        <v>41</v>
      </c>
      <c r="B27">
        <v>15</v>
      </c>
      <c r="C27">
        <v>19</v>
      </c>
      <c r="D27">
        <v>34</v>
      </c>
    </row>
    <row r="41" spans="1:4" x14ac:dyDescent="0.3">
      <c r="A41" s="4" t="s">
        <v>44</v>
      </c>
      <c r="B41" s="4" t="s">
        <v>43</v>
      </c>
    </row>
    <row r="42" spans="1:4" x14ac:dyDescent="0.3">
      <c r="A42" s="4" t="s">
        <v>40</v>
      </c>
      <c r="B42" t="s">
        <v>18</v>
      </c>
      <c r="C42" t="s">
        <v>15</v>
      </c>
      <c r="D42" t="s">
        <v>41</v>
      </c>
    </row>
    <row r="43" spans="1:4" x14ac:dyDescent="0.3">
      <c r="A43" s="5" t="s">
        <v>46</v>
      </c>
      <c r="B43">
        <v>1</v>
      </c>
      <c r="C43">
        <v>4</v>
      </c>
      <c r="D43">
        <v>5</v>
      </c>
    </row>
    <row r="44" spans="1:4" x14ac:dyDescent="0.3">
      <c r="A44" s="5" t="s">
        <v>47</v>
      </c>
      <c r="B44">
        <v>12</v>
      </c>
      <c r="C44">
        <v>13</v>
      </c>
      <c r="D44">
        <v>25</v>
      </c>
    </row>
    <row r="45" spans="1:4" x14ac:dyDescent="0.3">
      <c r="A45" s="5" t="s">
        <v>48</v>
      </c>
      <c r="B45">
        <v>2</v>
      </c>
      <c r="C45">
        <v>2</v>
      </c>
      <c r="D45">
        <v>4</v>
      </c>
    </row>
    <row r="46" spans="1:4" x14ac:dyDescent="0.3">
      <c r="A46" s="5" t="s">
        <v>41</v>
      </c>
      <c r="B46">
        <v>15</v>
      </c>
      <c r="C46">
        <v>19</v>
      </c>
      <c r="D46">
        <v>34</v>
      </c>
    </row>
    <row r="58" spans="1:4" x14ac:dyDescent="0.3">
      <c r="A58" s="4" t="s">
        <v>44</v>
      </c>
      <c r="B58" s="4" t="s">
        <v>43</v>
      </c>
    </row>
    <row r="59" spans="1:4" x14ac:dyDescent="0.3">
      <c r="A59" s="4" t="s">
        <v>40</v>
      </c>
      <c r="B59" t="s">
        <v>18</v>
      </c>
      <c r="C59" t="s">
        <v>15</v>
      </c>
      <c r="D59" t="s">
        <v>41</v>
      </c>
    </row>
    <row r="60" spans="1:4" x14ac:dyDescent="0.3">
      <c r="A60" s="5" t="s">
        <v>46</v>
      </c>
      <c r="B60">
        <v>1</v>
      </c>
      <c r="C60">
        <v>4</v>
      </c>
      <c r="D60">
        <v>5</v>
      </c>
    </row>
    <row r="61" spans="1:4" x14ac:dyDescent="0.3">
      <c r="A61" s="5" t="s">
        <v>47</v>
      </c>
      <c r="B61">
        <v>12</v>
      </c>
      <c r="C61">
        <v>13</v>
      </c>
      <c r="D61">
        <v>25</v>
      </c>
    </row>
    <row r="62" spans="1:4" x14ac:dyDescent="0.3">
      <c r="A62" s="5" t="s">
        <v>48</v>
      </c>
      <c r="B62">
        <v>2</v>
      </c>
      <c r="C62">
        <v>2</v>
      </c>
      <c r="D62">
        <v>4</v>
      </c>
    </row>
    <row r="63" spans="1:4" x14ac:dyDescent="0.3">
      <c r="A63" s="5" t="s">
        <v>41</v>
      </c>
      <c r="B63">
        <v>15</v>
      </c>
      <c r="C63">
        <v>19</v>
      </c>
      <c r="D63">
        <v>34</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9BCC-C33C-4C44-87F0-059EC87DB5DB}">
  <dimension ref="A1:T3"/>
  <sheetViews>
    <sheetView showGridLines="0" topLeftCell="A5" workbookViewId="0">
      <selection activeCell="T3" sqref="T3"/>
    </sheetView>
  </sheetViews>
  <sheetFormatPr defaultRowHeight="14.4" x14ac:dyDescent="0.3"/>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ht="36.6" x14ac:dyDescent="0.3">
      <c r="A3" s="7"/>
      <c r="B3" s="7"/>
      <c r="C3" s="7"/>
      <c r="D3" s="7"/>
      <c r="E3" s="7"/>
      <c r="F3" s="8" t="s">
        <v>49</v>
      </c>
      <c r="G3" s="7"/>
      <c r="H3" s="7"/>
      <c r="I3" s="7"/>
      <c r="J3" s="7"/>
      <c r="K3" s="7"/>
      <c r="L3" s="7"/>
      <c r="M3" s="7"/>
      <c r="N3" s="7"/>
      <c r="O3" s="7"/>
      <c r="P3" s="7"/>
      <c r="Q3" s="7"/>
      <c r="R3" s="7"/>
      <c r="S3" s="7"/>
      <c r="T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lokesharumuri@outlook.com</cp:lastModifiedBy>
  <cp:lastPrinted>2025-09-23T16:07:10Z</cp:lastPrinted>
  <dcterms:created xsi:type="dcterms:W3CDTF">2022-03-18T02:50:57Z</dcterms:created>
  <dcterms:modified xsi:type="dcterms:W3CDTF">2025-09-25T14:19:09Z</dcterms:modified>
</cp:coreProperties>
</file>